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br03529231\Desktop\Hsmarques\Planilhas Excel\"/>
    </mc:Choice>
  </mc:AlternateContent>
  <workbookProtection workbookAlgorithmName="SHA-512" workbookHashValue="Xx1RBJymZLC4+0/+gndiv8a5F5e1X4+8leaSbTe4WclJfri4W3NJsNfdR2DfPQAf3Pn9zoI+vNUgrdbU5KqFXA==" workbookSaltValue="MXrbs7Ups2QvTuZ7kMIigA==" workbookSpinCount="100000" lockStructure="1"/>
  <bookViews>
    <workbookView xWindow="240" yWindow="135" windowWidth="15480" windowHeight="7755" activeTab="5"/>
  </bookViews>
  <sheets>
    <sheet name="PAINEL" sheetId="1" r:id="rId1"/>
    <sheet name="BD MAT." sheetId="2" state="hidden" r:id="rId2"/>
    <sheet name="Plan3" sheetId="3" state="hidden" r:id="rId3"/>
    <sheet name="lançamento cubo CPP" sheetId="4" r:id="rId4"/>
    <sheet name="REQUISIÇÕES" sheetId="5" r:id="rId5"/>
    <sheet name="Boas Vindas" sheetId="6" r:id="rId6"/>
    <sheet name="Impressão" sheetId="7" r:id="rId7"/>
  </sheets>
  <definedNames>
    <definedName name="_xlnm._FilterDatabase" localSheetId="4" hidden="1">REQUISIÇÕES!$A$1:$L$72</definedName>
  </definedNames>
  <calcPr calcId="162913"/>
</workbook>
</file>

<file path=xl/calcChain.xml><?xml version="1.0" encoding="utf-8"?>
<calcChain xmlns="http://schemas.openxmlformats.org/spreadsheetml/2006/main">
  <c r="CN17" i="7" l="1"/>
  <c r="M17" i="7"/>
  <c r="DU11" i="7"/>
  <c r="BM11" i="7"/>
  <c r="AE11" i="7"/>
  <c r="DE11" i="7" s="1"/>
  <c r="E11" i="7"/>
  <c r="CJ8" i="7"/>
  <c r="BM8" i="7"/>
  <c r="E8" i="7"/>
  <c r="CN34" i="7"/>
  <c r="M34" i="7"/>
  <c r="DU28" i="7"/>
  <c r="BM28" i="7"/>
  <c r="AE28" i="7"/>
  <c r="DE28" i="7" s="1"/>
  <c r="E28" i="7"/>
  <c r="CJ25" i="7"/>
  <c r="BM25" i="7"/>
  <c r="E25" i="7"/>
  <c r="CN51" i="7" l="1"/>
  <c r="M51" i="7"/>
  <c r="DU45" i="7"/>
  <c r="BM45" i="7"/>
  <c r="AE45" i="7"/>
  <c r="DE45" i="7" s="1"/>
  <c r="E45" i="7"/>
  <c r="CJ42" i="7"/>
  <c r="BM42" i="7"/>
  <c r="E42" i="7"/>
  <c r="I4" i="1" l="1"/>
  <c r="I3" i="1" l="1"/>
  <c r="I5" i="1"/>
  <c r="I6" i="1"/>
  <c r="I7" i="1"/>
  <c r="I8" i="1"/>
  <c r="I9" i="1"/>
  <c r="I10" i="1"/>
  <c r="J10" i="1" s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J24" i="1" s="1"/>
  <c r="I25" i="1"/>
  <c r="J25" i="1" s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J58" i="1" s="1"/>
  <c r="I59" i="1"/>
  <c r="J59" i="1" s="1"/>
  <c r="I60" i="1"/>
  <c r="J60" i="1" s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J85" i="1" s="1"/>
  <c r="I86" i="1"/>
  <c r="I87" i="1"/>
  <c r="I88" i="1"/>
  <c r="I89" i="1"/>
  <c r="I90" i="1"/>
  <c r="I91" i="1"/>
  <c r="I92" i="1"/>
  <c r="I93" i="1"/>
  <c r="I94" i="1"/>
  <c r="I95" i="1"/>
  <c r="I96" i="1"/>
  <c r="J96" i="1" s="1"/>
  <c r="I97" i="1"/>
  <c r="I98" i="1"/>
  <c r="I99" i="1"/>
  <c r="I100" i="1"/>
  <c r="I101" i="1"/>
  <c r="I102" i="1"/>
  <c r="I103" i="1"/>
  <c r="I104" i="1"/>
  <c r="I105" i="1"/>
  <c r="I106" i="1"/>
  <c r="I107" i="1"/>
  <c r="I108" i="1"/>
  <c r="J108" i="1" s="1"/>
  <c r="I109" i="1"/>
  <c r="I110" i="1"/>
  <c r="I111" i="1"/>
  <c r="I112" i="1"/>
  <c r="I113" i="1"/>
  <c r="I114" i="1"/>
  <c r="I115" i="1"/>
  <c r="I116" i="1"/>
  <c r="I117" i="1"/>
  <c r="I118" i="1"/>
  <c r="I119" i="1"/>
  <c r="J119" i="1" s="1"/>
  <c r="I120" i="1"/>
  <c r="I121" i="1"/>
  <c r="I122" i="1"/>
  <c r="I123" i="1"/>
  <c r="I124" i="1"/>
  <c r="I125" i="1"/>
  <c r="I126" i="1"/>
  <c r="I127" i="1"/>
  <c r="I128" i="1"/>
  <c r="I129" i="1"/>
  <c r="I130" i="1"/>
  <c r="G119" i="1"/>
  <c r="D119" i="1"/>
  <c r="Q119" i="1" s="1"/>
  <c r="F119" i="1"/>
  <c r="G108" i="1"/>
  <c r="D108" i="1"/>
  <c r="Q108" i="1" s="1"/>
  <c r="F108" i="1"/>
  <c r="G96" i="1"/>
  <c r="D96" i="1"/>
  <c r="Q96" i="1" s="1"/>
  <c r="F96" i="1"/>
  <c r="G85" i="1"/>
  <c r="D85" i="1"/>
  <c r="Q85" i="1" s="1"/>
  <c r="F85" i="1"/>
  <c r="D60" i="1"/>
  <c r="Q60" i="1" s="1"/>
  <c r="D59" i="1"/>
  <c r="Q59" i="1" s="1"/>
  <c r="D58" i="1"/>
  <c r="Q58" i="1" s="1"/>
  <c r="F58" i="1"/>
  <c r="G58" i="1"/>
  <c r="F59" i="1"/>
  <c r="G59" i="1"/>
  <c r="F60" i="1"/>
  <c r="G60" i="1"/>
  <c r="G25" i="1"/>
  <c r="G24" i="1"/>
  <c r="D25" i="1"/>
  <c r="Q25" i="1" s="1"/>
  <c r="D24" i="1"/>
  <c r="K24" i="1" s="1"/>
  <c r="F24" i="1"/>
  <c r="F25" i="1"/>
  <c r="G10" i="1"/>
  <c r="D10" i="1"/>
  <c r="Q10" i="1" s="1"/>
  <c r="F10" i="1"/>
  <c r="D50" i="1"/>
  <c r="D49" i="1"/>
  <c r="D39" i="1"/>
  <c r="D40" i="1"/>
  <c r="D41" i="1"/>
  <c r="D42" i="1"/>
  <c r="D43" i="1"/>
  <c r="D44" i="1"/>
  <c r="D45" i="1"/>
  <c r="D46" i="1"/>
  <c r="D47" i="1"/>
  <c r="D48" i="1"/>
  <c r="D38" i="1"/>
  <c r="D37" i="1"/>
  <c r="D19" i="1"/>
  <c r="K59" i="1" l="1"/>
  <c r="L59" i="1" s="1"/>
  <c r="P59" i="1" s="1"/>
  <c r="K96" i="1"/>
  <c r="L96" i="1" s="1"/>
  <c r="P96" i="1" s="1"/>
  <c r="K108" i="1"/>
  <c r="L108" i="1" s="1"/>
  <c r="P108" i="1" s="1"/>
  <c r="K119" i="1"/>
  <c r="L119" i="1" s="1"/>
  <c r="P119" i="1" s="1"/>
  <c r="K85" i="1"/>
  <c r="L85" i="1" s="1"/>
  <c r="P85" i="1" s="1"/>
  <c r="K58" i="1"/>
  <c r="L58" i="1" s="1"/>
  <c r="P58" i="1" s="1"/>
  <c r="K60" i="1"/>
  <c r="L60" i="1" s="1"/>
  <c r="P60" i="1" s="1"/>
  <c r="K25" i="1"/>
  <c r="L25" i="1" s="1"/>
  <c r="P25" i="1" s="1"/>
  <c r="L24" i="1"/>
  <c r="P24" i="1" s="1"/>
  <c r="Q24" i="1"/>
  <c r="K10" i="1"/>
  <c r="L10" i="1" s="1"/>
  <c r="P10" i="1" s="1"/>
  <c r="G3" i="1" l="1"/>
  <c r="G4" i="1"/>
  <c r="G5" i="1"/>
  <c r="G6" i="1"/>
  <c r="G7" i="1"/>
  <c r="G8" i="1"/>
  <c r="G9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6" i="1"/>
  <c r="G87" i="1"/>
  <c r="G88" i="1"/>
  <c r="G89" i="1"/>
  <c r="G90" i="1"/>
  <c r="G91" i="1"/>
  <c r="G92" i="1"/>
  <c r="G93" i="1"/>
  <c r="G94" i="1"/>
  <c r="G95" i="1"/>
  <c r="G97" i="1"/>
  <c r="G98" i="1"/>
  <c r="G99" i="1"/>
  <c r="G100" i="1"/>
  <c r="G101" i="1"/>
  <c r="G102" i="1"/>
  <c r="G103" i="1"/>
  <c r="G104" i="1"/>
  <c r="G105" i="1"/>
  <c r="G106" i="1"/>
  <c r="G107" i="1"/>
  <c r="G109" i="1"/>
  <c r="G110" i="1"/>
  <c r="G111" i="1"/>
  <c r="G112" i="1"/>
  <c r="G113" i="1"/>
  <c r="G114" i="1"/>
  <c r="G115" i="1"/>
  <c r="G116" i="1"/>
  <c r="G117" i="1"/>
  <c r="G118" i="1"/>
  <c r="G120" i="1"/>
  <c r="G121" i="1"/>
  <c r="G122" i="1"/>
  <c r="G123" i="1"/>
  <c r="G124" i="1"/>
  <c r="G125" i="1"/>
  <c r="G126" i="1"/>
  <c r="G127" i="1"/>
  <c r="G128" i="1"/>
  <c r="G129" i="1"/>
  <c r="G130" i="1"/>
  <c r="F3" i="1"/>
  <c r="D3" i="1"/>
  <c r="D4" i="1"/>
  <c r="Q4" i="1" s="1"/>
  <c r="D5" i="1"/>
  <c r="Q5" i="1" s="1"/>
  <c r="D6" i="1"/>
  <c r="Q6" i="1" s="1"/>
  <c r="D7" i="1"/>
  <c r="Q7" i="1" s="1"/>
  <c r="D8" i="1"/>
  <c r="Q8" i="1" s="1"/>
  <c r="D9" i="1"/>
  <c r="Q9" i="1" s="1"/>
  <c r="D11" i="1"/>
  <c r="Q11" i="1" s="1"/>
  <c r="D12" i="1"/>
  <c r="Q12" i="1" s="1"/>
  <c r="D13" i="1"/>
  <c r="D14" i="1"/>
  <c r="Q14" i="1" s="1"/>
  <c r="D15" i="1"/>
  <c r="Q15" i="1" s="1"/>
  <c r="D16" i="1"/>
  <c r="Q16" i="1" s="1"/>
  <c r="D17" i="1"/>
  <c r="Q17" i="1" s="1"/>
  <c r="D18" i="1"/>
  <c r="Q18" i="1" s="1"/>
  <c r="D20" i="1"/>
  <c r="Q20" i="1" s="1"/>
  <c r="D21" i="1"/>
  <c r="Q21" i="1" s="1"/>
  <c r="D22" i="1"/>
  <c r="Q22" i="1" s="1"/>
  <c r="D23" i="1"/>
  <c r="Q23" i="1" s="1"/>
  <c r="D26" i="1"/>
  <c r="Q26" i="1" s="1"/>
  <c r="D27" i="1"/>
  <c r="Q27" i="1" s="1"/>
  <c r="D28" i="1"/>
  <c r="Q28" i="1" s="1"/>
  <c r="D29" i="1"/>
  <c r="Q29" i="1" s="1"/>
  <c r="D30" i="1"/>
  <c r="Q30" i="1" s="1"/>
  <c r="D31" i="1"/>
  <c r="Q31" i="1" s="1"/>
  <c r="D32" i="1"/>
  <c r="Q32" i="1" s="1"/>
  <c r="D33" i="1"/>
  <c r="Q33" i="1" s="1"/>
  <c r="D34" i="1"/>
  <c r="Q34" i="1" s="1"/>
  <c r="D35" i="1"/>
  <c r="Q35" i="1" s="1"/>
  <c r="D36" i="1"/>
  <c r="Q36" i="1" s="1"/>
  <c r="Q39" i="1"/>
  <c r="Q43" i="1"/>
  <c r="Q47" i="1"/>
  <c r="D51" i="1"/>
  <c r="Q51" i="1" s="1"/>
  <c r="D52" i="1"/>
  <c r="Q52" i="1" s="1"/>
  <c r="D53" i="1"/>
  <c r="Q53" i="1" s="1"/>
  <c r="D54" i="1"/>
  <c r="Q54" i="1" s="1"/>
  <c r="D55" i="1"/>
  <c r="Q55" i="1" s="1"/>
  <c r="D56" i="1"/>
  <c r="Q56" i="1" s="1"/>
  <c r="D57" i="1"/>
  <c r="Q57" i="1" s="1"/>
  <c r="D61" i="1"/>
  <c r="Q61" i="1" s="1"/>
  <c r="D62" i="1"/>
  <c r="Q62" i="1" s="1"/>
  <c r="D63" i="1"/>
  <c r="Q63" i="1" s="1"/>
  <c r="D64" i="1"/>
  <c r="Q64" i="1" s="1"/>
  <c r="D65" i="1"/>
  <c r="Q65" i="1" s="1"/>
  <c r="D66" i="1"/>
  <c r="Q66" i="1" s="1"/>
  <c r="D67" i="1"/>
  <c r="Q67" i="1" s="1"/>
  <c r="D68" i="1"/>
  <c r="Q68" i="1" s="1"/>
  <c r="D69" i="1"/>
  <c r="Q69" i="1" s="1"/>
  <c r="D70" i="1"/>
  <c r="Q70" i="1" s="1"/>
  <c r="D71" i="1"/>
  <c r="Q71" i="1" s="1"/>
  <c r="D72" i="1"/>
  <c r="Q72" i="1" s="1"/>
  <c r="D73" i="1"/>
  <c r="Q73" i="1" s="1"/>
  <c r="D74" i="1"/>
  <c r="Q74" i="1" s="1"/>
  <c r="D75" i="1"/>
  <c r="Q75" i="1" s="1"/>
  <c r="D76" i="1"/>
  <c r="Q76" i="1" s="1"/>
  <c r="D77" i="1"/>
  <c r="Q77" i="1" s="1"/>
  <c r="D78" i="1"/>
  <c r="Q78" i="1" s="1"/>
  <c r="D79" i="1"/>
  <c r="Q79" i="1" s="1"/>
  <c r="D80" i="1"/>
  <c r="Q80" i="1" s="1"/>
  <c r="D81" i="1"/>
  <c r="Q81" i="1" s="1"/>
  <c r="D82" i="1"/>
  <c r="Q82" i="1" s="1"/>
  <c r="D83" i="1"/>
  <c r="Q83" i="1" s="1"/>
  <c r="D84" i="1"/>
  <c r="Q84" i="1" s="1"/>
  <c r="D86" i="1"/>
  <c r="Q86" i="1" s="1"/>
  <c r="D87" i="1"/>
  <c r="Q87" i="1" s="1"/>
  <c r="D88" i="1"/>
  <c r="Q88" i="1" s="1"/>
  <c r="D89" i="1"/>
  <c r="Q89" i="1" s="1"/>
  <c r="D90" i="1"/>
  <c r="Q90" i="1" s="1"/>
  <c r="D91" i="1"/>
  <c r="Q91" i="1" s="1"/>
  <c r="D92" i="1"/>
  <c r="Q92" i="1" s="1"/>
  <c r="D93" i="1"/>
  <c r="Q93" i="1" s="1"/>
  <c r="D94" i="1"/>
  <c r="Q94" i="1" s="1"/>
  <c r="D95" i="1"/>
  <c r="Q95" i="1" s="1"/>
  <c r="D97" i="1"/>
  <c r="Q97" i="1" s="1"/>
  <c r="D98" i="1"/>
  <c r="Q98" i="1" s="1"/>
  <c r="D99" i="1"/>
  <c r="Q99" i="1" s="1"/>
  <c r="D100" i="1"/>
  <c r="Q100" i="1" s="1"/>
  <c r="D101" i="1"/>
  <c r="Q101" i="1" s="1"/>
  <c r="D102" i="1"/>
  <c r="Q102" i="1" s="1"/>
  <c r="D103" i="1"/>
  <c r="Q103" i="1" s="1"/>
  <c r="D104" i="1"/>
  <c r="Q104" i="1" s="1"/>
  <c r="D105" i="1"/>
  <c r="Q105" i="1" s="1"/>
  <c r="D106" i="1"/>
  <c r="Q106" i="1" s="1"/>
  <c r="D107" i="1"/>
  <c r="Q107" i="1" s="1"/>
  <c r="D109" i="1"/>
  <c r="Q109" i="1" s="1"/>
  <c r="D110" i="1"/>
  <c r="Q110" i="1" s="1"/>
  <c r="D111" i="1"/>
  <c r="Q111" i="1" s="1"/>
  <c r="D112" i="1"/>
  <c r="Q112" i="1" s="1"/>
  <c r="D113" i="1"/>
  <c r="Q113" i="1" s="1"/>
  <c r="D114" i="1"/>
  <c r="Q114" i="1" s="1"/>
  <c r="D115" i="1"/>
  <c r="Q115" i="1" s="1"/>
  <c r="D116" i="1"/>
  <c r="Q116" i="1" s="1"/>
  <c r="D117" i="1"/>
  <c r="Q117" i="1" s="1"/>
  <c r="D118" i="1"/>
  <c r="Q118" i="1" s="1"/>
  <c r="D120" i="1"/>
  <c r="Q120" i="1" s="1"/>
  <c r="D121" i="1"/>
  <c r="Q121" i="1" s="1"/>
  <c r="D122" i="1"/>
  <c r="Q122" i="1" s="1"/>
  <c r="D123" i="1"/>
  <c r="Q123" i="1" s="1"/>
  <c r="D124" i="1"/>
  <c r="Q124" i="1" s="1"/>
  <c r="D125" i="1"/>
  <c r="Q125" i="1" s="1"/>
  <c r="D126" i="1"/>
  <c r="Q126" i="1" s="1"/>
  <c r="D127" i="1"/>
  <c r="Q127" i="1" s="1"/>
  <c r="D128" i="1"/>
  <c r="D129" i="1"/>
  <c r="Q129" i="1" s="1"/>
  <c r="D130" i="1"/>
  <c r="Q130" i="1" s="1"/>
  <c r="Q13" i="1"/>
  <c r="Q19" i="1"/>
  <c r="Q37" i="1"/>
  <c r="Q38" i="1"/>
  <c r="Q40" i="1"/>
  <c r="Q41" i="1"/>
  <c r="Q42" i="1"/>
  <c r="Q44" i="1"/>
  <c r="Q45" i="1"/>
  <c r="Q46" i="1"/>
  <c r="Q48" i="1"/>
  <c r="Q49" i="1"/>
  <c r="Q50" i="1"/>
  <c r="Q128" i="1"/>
  <c r="Q3" i="1" l="1"/>
  <c r="K3" i="1"/>
  <c r="J15" i="1"/>
  <c r="J4" i="1"/>
  <c r="J3" i="1"/>
  <c r="J5" i="1"/>
  <c r="J6" i="1"/>
  <c r="J7" i="1"/>
  <c r="J8" i="1"/>
  <c r="J9" i="1"/>
  <c r="J11" i="1"/>
  <c r="J12" i="1"/>
  <c r="J13" i="1"/>
  <c r="J14" i="1"/>
  <c r="J16" i="1"/>
  <c r="J17" i="1"/>
  <c r="J18" i="1"/>
  <c r="J19" i="1"/>
  <c r="J20" i="1"/>
  <c r="J21" i="1"/>
  <c r="J22" i="1"/>
  <c r="J23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6" i="1"/>
  <c r="J87" i="1"/>
  <c r="J88" i="1"/>
  <c r="J89" i="1"/>
  <c r="J90" i="1"/>
  <c r="J91" i="1"/>
  <c r="J92" i="1"/>
  <c r="J93" i="1"/>
  <c r="J94" i="1"/>
  <c r="J95" i="1"/>
  <c r="J97" i="1"/>
  <c r="J98" i="1"/>
  <c r="J99" i="1"/>
  <c r="J100" i="1"/>
  <c r="J101" i="1"/>
  <c r="J102" i="1"/>
  <c r="J103" i="1"/>
  <c r="J104" i="1"/>
  <c r="J105" i="1"/>
  <c r="J106" i="1"/>
  <c r="J107" i="1"/>
  <c r="J109" i="1"/>
  <c r="J110" i="1"/>
  <c r="J111" i="1"/>
  <c r="J112" i="1"/>
  <c r="J113" i="1"/>
  <c r="J114" i="1"/>
  <c r="J115" i="1"/>
  <c r="J116" i="1"/>
  <c r="J117" i="1"/>
  <c r="J118" i="1"/>
  <c r="J120" i="1"/>
  <c r="J121" i="1"/>
  <c r="J122" i="1"/>
  <c r="J123" i="1"/>
  <c r="J124" i="1"/>
  <c r="J125" i="1"/>
  <c r="J126" i="1"/>
  <c r="J127" i="1"/>
  <c r="J128" i="1"/>
  <c r="J129" i="1"/>
  <c r="J130" i="1"/>
  <c r="L3" i="1" l="1"/>
  <c r="P3" i="1" s="1"/>
  <c r="K73" i="1"/>
  <c r="L73" i="1" s="1"/>
  <c r="P73" i="1" s="1"/>
  <c r="F126" i="1" l="1"/>
  <c r="F128" i="1"/>
  <c r="F129" i="1"/>
  <c r="F130" i="1"/>
  <c r="F125" i="1"/>
  <c r="F121" i="1"/>
  <c r="F123" i="1"/>
  <c r="F124" i="1"/>
  <c r="F120" i="1"/>
  <c r="F115" i="1"/>
  <c r="F117" i="1"/>
  <c r="F114" i="1"/>
  <c r="F110" i="1"/>
  <c r="F111" i="1"/>
  <c r="F112" i="1"/>
  <c r="F109" i="1"/>
  <c r="F104" i="1"/>
  <c r="F106" i="1"/>
  <c r="F107" i="1"/>
  <c r="F103" i="1"/>
  <c r="F98" i="1"/>
  <c r="F100" i="1"/>
  <c r="F101" i="1"/>
  <c r="F97" i="1"/>
  <c r="F93" i="1"/>
  <c r="F95" i="1"/>
  <c r="F92" i="1"/>
  <c r="F87" i="1"/>
  <c r="F89" i="1"/>
  <c r="F90" i="1"/>
  <c r="F86" i="1"/>
  <c r="F81" i="1"/>
  <c r="F83" i="1"/>
  <c r="F84" i="1"/>
  <c r="F72" i="1"/>
  <c r="F74" i="1"/>
  <c r="F75" i="1"/>
  <c r="F76" i="1"/>
  <c r="F77" i="1"/>
  <c r="F78" i="1"/>
  <c r="F79" i="1"/>
  <c r="F80" i="1"/>
  <c r="F71" i="1"/>
  <c r="K81" i="1" l="1"/>
  <c r="L81" i="1" s="1"/>
  <c r="P81" i="1" s="1"/>
  <c r="K110" i="1"/>
  <c r="L110" i="1" s="1"/>
  <c r="P110" i="1" s="1"/>
  <c r="K126" i="1"/>
  <c r="L126" i="1" s="1"/>
  <c r="P126" i="1" s="1"/>
  <c r="K92" i="1"/>
  <c r="L92" i="1" s="1"/>
  <c r="P92" i="1" s="1"/>
  <c r="K97" i="1"/>
  <c r="L97" i="1" s="1"/>
  <c r="P97" i="1" s="1"/>
  <c r="K102" i="1"/>
  <c r="L102" i="1" s="1"/>
  <c r="P102" i="1" s="1"/>
  <c r="K109" i="1"/>
  <c r="L109" i="1" s="1"/>
  <c r="P109" i="1" s="1"/>
  <c r="K117" i="1"/>
  <c r="L117" i="1" s="1"/>
  <c r="P117" i="1" s="1"/>
  <c r="K74" i="1"/>
  <c r="L74" i="1" s="1"/>
  <c r="P74" i="1" s="1"/>
  <c r="K82" i="1"/>
  <c r="L82" i="1" s="1"/>
  <c r="P82" i="1" s="1"/>
  <c r="K111" i="1"/>
  <c r="L111" i="1" s="1"/>
  <c r="P111" i="1" s="1"/>
  <c r="K118" i="1"/>
  <c r="L118" i="1" s="1"/>
  <c r="P118" i="1" s="1"/>
  <c r="K127" i="1"/>
  <c r="L127" i="1" s="1"/>
  <c r="P127" i="1" s="1"/>
  <c r="K91" i="1"/>
  <c r="L91" i="1" s="1"/>
  <c r="P91" i="1" s="1"/>
  <c r="K115" i="1"/>
  <c r="L115" i="1" s="1"/>
  <c r="P115" i="1" s="1"/>
  <c r="K116" i="1"/>
  <c r="L116" i="1" s="1"/>
  <c r="P116" i="1" s="1"/>
  <c r="K71" i="1"/>
  <c r="L71" i="1" s="1"/>
  <c r="P71" i="1" s="1"/>
  <c r="K72" i="1"/>
  <c r="L72" i="1" s="1"/>
  <c r="P72" i="1" s="1"/>
  <c r="K75" i="1"/>
  <c r="L75" i="1" s="1"/>
  <c r="P75" i="1" s="1"/>
  <c r="K83" i="1"/>
  <c r="L83" i="1" s="1"/>
  <c r="P83" i="1" s="1"/>
  <c r="K87" i="1"/>
  <c r="L87" i="1" s="1"/>
  <c r="P87" i="1" s="1"/>
  <c r="K93" i="1"/>
  <c r="L93" i="1" s="1"/>
  <c r="P93" i="1" s="1"/>
  <c r="K103" i="1"/>
  <c r="L103" i="1" s="1"/>
  <c r="P103" i="1" s="1"/>
  <c r="K104" i="1"/>
  <c r="L104" i="1" s="1"/>
  <c r="P104" i="1" s="1"/>
  <c r="K112" i="1"/>
  <c r="L112" i="1" s="1"/>
  <c r="P112" i="1" s="1"/>
  <c r="K125" i="1"/>
  <c r="L125" i="1" s="1"/>
  <c r="P125" i="1" s="1"/>
  <c r="K128" i="1"/>
  <c r="L128" i="1" s="1"/>
  <c r="P128" i="1" s="1"/>
  <c r="K86" i="1"/>
  <c r="L86" i="1" s="1"/>
  <c r="P86" i="1" s="1"/>
  <c r="K100" i="1"/>
  <c r="L100" i="1" s="1"/>
  <c r="P100" i="1" s="1"/>
  <c r="K114" i="1"/>
  <c r="L114" i="1" s="1"/>
  <c r="P114" i="1" s="1"/>
  <c r="K80" i="1"/>
  <c r="L80" i="1" s="1"/>
  <c r="P80" i="1" s="1"/>
  <c r="K76" i="1"/>
  <c r="L76" i="1" s="1"/>
  <c r="P76" i="1" s="1"/>
  <c r="K84" i="1"/>
  <c r="L84" i="1" s="1"/>
  <c r="P84" i="1" s="1"/>
  <c r="K88" i="1"/>
  <c r="L88" i="1" s="1"/>
  <c r="P88" i="1" s="1"/>
  <c r="K105" i="1"/>
  <c r="L105" i="1" s="1"/>
  <c r="P105" i="1" s="1"/>
  <c r="K113" i="1"/>
  <c r="L113" i="1" s="1"/>
  <c r="P113" i="1" s="1"/>
  <c r="K129" i="1"/>
  <c r="L129" i="1" s="1"/>
  <c r="P129" i="1" s="1"/>
  <c r="K77" i="1"/>
  <c r="L77" i="1" s="1"/>
  <c r="P77" i="1" s="1"/>
  <c r="K89" i="1"/>
  <c r="L89" i="1" s="1"/>
  <c r="P89" i="1" s="1"/>
  <c r="K95" i="1"/>
  <c r="L95" i="1" s="1"/>
  <c r="P95" i="1" s="1"/>
  <c r="K98" i="1"/>
  <c r="L98" i="1" s="1"/>
  <c r="P98" i="1" s="1"/>
  <c r="K106" i="1"/>
  <c r="L106" i="1" s="1"/>
  <c r="P106" i="1" s="1"/>
  <c r="K120" i="1"/>
  <c r="L120" i="1" s="1"/>
  <c r="P120" i="1" s="1"/>
  <c r="K121" i="1"/>
  <c r="L121" i="1" s="1"/>
  <c r="P121" i="1" s="1"/>
  <c r="K130" i="1"/>
  <c r="L130" i="1" s="1"/>
  <c r="P130" i="1" s="1"/>
  <c r="K79" i="1"/>
  <c r="L79" i="1" s="1"/>
  <c r="P79" i="1" s="1"/>
  <c r="K123" i="1"/>
  <c r="L123" i="1" s="1"/>
  <c r="P123" i="1" s="1"/>
  <c r="K101" i="1"/>
  <c r="L101" i="1" s="1"/>
  <c r="P101" i="1" s="1"/>
  <c r="K94" i="1"/>
  <c r="L94" i="1" s="1"/>
  <c r="P94" i="1" s="1"/>
  <c r="K78" i="1"/>
  <c r="L78" i="1" s="1"/>
  <c r="P78" i="1" s="1"/>
  <c r="K90" i="1"/>
  <c r="L90" i="1" s="1"/>
  <c r="P90" i="1" s="1"/>
  <c r="K99" i="1"/>
  <c r="L99" i="1" s="1"/>
  <c r="P99" i="1" s="1"/>
  <c r="K107" i="1"/>
  <c r="L107" i="1" s="1"/>
  <c r="P107" i="1" s="1"/>
  <c r="K122" i="1"/>
  <c r="L122" i="1" s="1"/>
  <c r="P122" i="1" s="1"/>
  <c r="K124" i="1"/>
  <c r="L124" i="1" s="1"/>
  <c r="P124" i="1" s="1"/>
  <c r="F62" i="1"/>
  <c r="F63" i="1"/>
  <c r="F65" i="1"/>
  <c r="F66" i="1"/>
  <c r="F67" i="1"/>
  <c r="F68" i="1"/>
  <c r="F69" i="1"/>
  <c r="F61" i="1"/>
  <c r="F50" i="1"/>
  <c r="F52" i="1"/>
  <c r="F53" i="1"/>
  <c r="F54" i="1"/>
  <c r="F55" i="1"/>
  <c r="F57" i="1"/>
  <c r="F49" i="1"/>
  <c r="F38" i="1"/>
  <c r="F40" i="1"/>
  <c r="F41" i="1"/>
  <c r="F43" i="1"/>
  <c r="F44" i="1"/>
  <c r="F45" i="1"/>
  <c r="F48" i="1"/>
  <c r="F37" i="1"/>
  <c r="F27" i="1"/>
  <c r="F29" i="1"/>
  <c r="F30" i="1"/>
  <c r="F31" i="1"/>
  <c r="F32" i="1"/>
  <c r="F33" i="1"/>
  <c r="F26" i="1"/>
  <c r="F20" i="1"/>
  <c r="F22" i="1"/>
  <c r="F23" i="1"/>
  <c r="F19" i="1"/>
  <c r="F12" i="1"/>
  <c r="F14" i="1"/>
  <c r="F15" i="1"/>
  <c r="F16" i="1"/>
  <c r="F17" i="1"/>
  <c r="F11" i="1"/>
  <c r="F9" i="1"/>
  <c r="K67" i="1" l="1"/>
  <c r="L67" i="1" s="1"/>
  <c r="P67" i="1" s="1"/>
  <c r="K69" i="1"/>
  <c r="L69" i="1" s="1"/>
  <c r="P69" i="1" s="1"/>
  <c r="K31" i="1"/>
  <c r="L31" i="1" s="1"/>
  <c r="P31" i="1" s="1"/>
  <c r="K8" i="1"/>
  <c r="L8" i="1" s="1"/>
  <c r="P8" i="1" s="1"/>
  <c r="K18" i="1"/>
  <c r="L18" i="1" s="1"/>
  <c r="P18" i="1" s="1"/>
  <c r="K19" i="1"/>
  <c r="L19" i="1" s="1"/>
  <c r="P19" i="1" s="1"/>
  <c r="K21" i="1"/>
  <c r="L21" i="1" s="1"/>
  <c r="P21" i="1" s="1"/>
  <c r="K46" i="1"/>
  <c r="L46" i="1" s="1"/>
  <c r="P46" i="1" s="1"/>
  <c r="K38" i="1"/>
  <c r="L38" i="1" s="1"/>
  <c r="P38" i="1" s="1"/>
  <c r="K52" i="1"/>
  <c r="L52" i="1" s="1"/>
  <c r="P52" i="1" s="1"/>
  <c r="K68" i="1"/>
  <c r="L68" i="1" s="1"/>
  <c r="P68" i="1" s="1"/>
  <c r="K17" i="1"/>
  <c r="L17" i="1" s="1"/>
  <c r="P17" i="1" s="1"/>
  <c r="K12" i="1"/>
  <c r="L12" i="1" s="1"/>
  <c r="P12" i="1" s="1"/>
  <c r="K22" i="1"/>
  <c r="L22" i="1" s="1"/>
  <c r="P22" i="1" s="1"/>
  <c r="K33" i="1"/>
  <c r="L33" i="1" s="1"/>
  <c r="P33" i="1" s="1"/>
  <c r="K37" i="1"/>
  <c r="L37" i="1" s="1"/>
  <c r="P37" i="1" s="1"/>
  <c r="K48" i="1"/>
  <c r="L48" i="1" s="1"/>
  <c r="P48" i="1" s="1"/>
  <c r="K40" i="1"/>
  <c r="L40" i="1" s="1"/>
  <c r="P40" i="1" s="1"/>
  <c r="K53" i="1"/>
  <c r="L53" i="1" s="1"/>
  <c r="P53" i="1" s="1"/>
  <c r="K70" i="1"/>
  <c r="L70" i="1" s="1"/>
  <c r="P70" i="1" s="1"/>
  <c r="K62" i="1"/>
  <c r="L62" i="1" s="1"/>
  <c r="P62" i="1" s="1"/>
  <c r="K9" i="1"/>
  <c r="L9" i="1" s="1"/>
  <c r="P9" i="1" s="1"/>
  <c r="K13" i="1"/>
  <c r="L13" i="1" s="1"/>
  <c r="P13" i="1" s="1"/>
  <c r="K23" i="1"/>
  <c r="L23" i="1" s="1"/>
  <c r="P23" i="1" s="1"/>
  <c r="K34" i="1"/>
  <c r="L34" i="1" s="1"/>
  <c r="P34" i="1" s="1"/>
  <c r="K41" i="1"/>
  <c r="L41" i="1" s="1"/>
  <c r="P41" i="1" s="1"/>
  <c r="K54" i="1"/>
  <c r="L54" i="1" s="1"/>
  <c r="P54" i="1" s="1"/>
  <c r="K63" i="1"/>
  <c r="L63" i="1" s="1"/>
  <c r="P63" i="1" s="1"/>
  <c r="K14" i="1"/>
  <c r="L14" i="1" s="1"/>
  <c r="P14" i="1" s="1"/>
  <c r="K35" i="1"/>
  <c r="L35" i="1" s="1"/>
  <c r="P35" i="1" s="1"/>
  <c r="K27" i="1"/>
  <c r="L27" i="1" s="1"/>
  <c r="P27" i="1" s="1"/>
  <c r="K42" i="1"/>
  <c r="L42" i="1" s="1"/>
  <c r="P42" i="1" s="1"/>
  <c r="K55" i="1"/>
  <c r="L55" i="1" s="1"/>
  <c r="P55" i="1" s="1"/>
  <c r="K61" i="1"/>
  <c r="L61" i="1" s="1"/>
  <c r="P61" i="1" s="1"/>
  <c r="K64" i="1"/>
  <c r="L64" i="1" s="1"/>
  <c r="P64" i="1" s="1"/>
  <c r="K30" i="1"/>
  <c r="L30" i="1" s="1"/>
  <c r="P30" i="1" s="1"/>
  <c r="K45" i="1"/>
  <c r="L45" i="1" s="1"/>
  <c r="P45" i="1" s="1"/>
  <c r="K51" i="1"/>
  <c r="L51" i="1" s="1"/>
  <c r="P51" i="1" s="1"/>
  <c r="K32" i="1"/>
  <c r="L32" i="1" s="1"/>
  <c r="P32" i="1" s="1"/>
  <c r="K47" i="1"/>
  <c r="L47" i="1" s="1"/>
  <c r="P47" i="1" s="1"/>
  <c r="K39" i="1"/>
  <c r="L39" i="1" s="1"/>
  <c r="P39" i="1" s="1"/>
  <c r="K15" i="1"/>
  <c r="L15" i="1" s="1"/>
  <c r="P15" i="1" s="1"/>
  <c r="K26" i="1"/>
  <c r="L26" i="1" s="1"/>
  <c r="P26" i="1" s="1"/>
  <c r="K36" i="1"/>
  <c r="L36" i="1" s="1"/>
  <c r="P36" i="1" s="1"/>
  <c r="K28" i="1"/>
  <c r="L28" i="1" s="1"/>
  <c r="P28" i="1" s="1"/>
  <c r="K43" i="1"/>
  <c r="L43" i="1" s="1"/>
  <c r="P43" i="1" s="1"/>
  <c r="K56" i="1"/>
  <c r="L56" i="1" s="1"/>
  <c r="P56" i="1" s="1"/>
  <c r="K65" i="1"/>
  <c r="L65" i="1" s="1"/>
  <c r="P65" i="1" s="1"/>
  <c r="K11" i="1"/>
  <c r="L11" i="1" s="1"/>
  <c r="P11" i="1" s="1"/>
  <c r="K16" i="1"/>
  <c r="L16" i="1" s="1"/>
  <c r="P16" i="1" s="1"/>
  <c r="K29" i="1"/>
  <c r="L29" i="1" s="1"/>
  <c r="P29" i="1" s="1"/>
  <c r="K44" i="1"/>
  <c r="L44" i="1" s="1"/>
  <c r="P44" i="1" s="1"/>
  <c r="K49" i="1"/>
  <c r="L49" i="1" s="1"/>
  <c r="P49" i="1" s="1"/>
  <c r="K57" i="1"/>
  <c r="L57" i="1" s="1"/>
  <c r="P57" i="1" s="1"/>
  <c r="K50" i="1"/>
  <c r="L50" i="1" s="1"/>
  <c r="P50" i="1" s="1"/>
  <c r="K66" i="1"/>
  <c r="L66" i="1" s="1"/>
  <c r="P66" i="1" s="1"/>
  <c r="K20" i="1"/>
  <c r="L20" i="1" s="1"/>
  <c r="P20" i="1" s="1"/>
  <c r="F7" i="1"/>
  <c r="F6" i="1"/>
  <c r="F4" i="1"/>
  <c r="K5" i="1" l="1"/>
  <c r="L5" i="1" s="1"/>
  <c r="P5" i="1" s="1"/>
  <c r="K4" i="1"/>
  <c r="L4" i="1" s="1"/>
  <c r="P4" i="1" s="1"/>
  <c r="K7" i="1"/>
  <c r="L7" i="1" s="1"/>
  <c r="P7" i="1" s="1"/>
  <c r="K6" i="1"/>
  <c r="L6" i="1" s="1"/>
  <c r="P6" i="1" s="1"/>
  <c r="F73" i="1"/>
  <c r="F91" i="1" l="1"/>
  <c r="F118" i="1"/>
  <c r="F102" i="1"/>
  <c r="F122" i="1"/>
  <c r="F88" i="1"/>
  <c r="F82" i="1"/>
  <c r="F127" i="1"/>
  <c r="F94" i="1"/>
  <c r="F116" i="1"/>
  <c r="F113" i="1"/>
  <c r="F105" i="1"/>
  <c r="F99" i="1"/>
  <c r="F18" i="1"/>
  <c r="F34" i="1"/>
  <c r="F56" i="1"/>
  <c r="F42" i="1"/>
  <c r="F70" i="1"/>
  <c r="F47" i="1"/>
  <c r="F35" i="1"/>
  <c r="F46" i="1"/>
  <c r="F36" i="1"/>
  <c r="F8" i="1"/>
  <c r="F28" i="1"/>
  <c r="F51" i="1"/>
  <c r="F21" i="1"/>
  <c r="F64" i="1"/>
  <c r="F13" i="1"/>
  <c r="F39" i="1"/>
  <c r="F5" i="1"/>
</calcChain>
</file>

<file path=xl/sharedStrings.xml><?xml version="1.0" encoding="utf-8"?>
<sst xmlns="http://schemas.openxmlformats.org/spreadsheetml/2006/main" count="390" uniqueCount="89">
  <si>
    <t>DEPTO</t>
  </si>
  <si>
    <t>COMBOIO</t>
  </si>
  <si>
    <t>CÓDIGO PRODU</t>
  </si>
  <si>
    <t>DESCRIÇÃO</t>
  </si>
  <si>
    <t>GRAXA LUBRIF COMPLEXO LITIO NLGI-2 170KG</t>
  </si>
  <si>
    <t>OLEO LUBRIF SAE 15W40 API CJ-4S/M</t>
  </si>
  <si>
    <t>OLEO DE TRANSMISSAO SAE 50 9X8530 TO-4</t>
  </si>
  <si>
    <t>OLEO SP90 IPIRGEROL</t>
  </si>
  <si>
    <t xml:space="preserve">OLEO LUBRIF GRAU SAE 40 API CF 200L    </t>
  </si>
  <si>
    <t xml:space="preserve">OLEO LUBRIF HIDR TIPO ATF A TB 200L     </t>
  </si>
  <si>
    <t>OLEO LUBRIF SAE 85W140 API GL-5 TB 200L</t>
  </si>
  <si>
    <t>OLEO LUBR SAE 10W30 MULT G NH410B</t>
  </si>
  <si>
    <t>COOL GARD 2 50/50 PREMIX CQM25553</t>
  </si>
  <si>
    <t xml:space="preserve">  DIESEL</t>
  </si>
  <si>
    <t>OLEO DIESEL S500 CLASSE B 5% BIODIESEL</t>
  </si>
  <si>
    <t>OLEO DIESEL S10 CLASSE B 5% BIODIESEL</t>
  </si>
  <si>
    <t>LUBRIFICANTES</t>
  </si>
  <si>
    <t>USA</t>
  </si>
  <si>
    <t>PI</t>
  </si>
  <si>
    <t>PB</t>
  </si>
  <si>
    <t>SAÍDAS NO PERÍODO</t>
  </si>
  <si>
    <t>ENTRADAS  NO PERÍODO</t>
  </si>
  <si>
    <t>OLEO LUBRIF HIDR GRAU ISO 100 (AKCELA)</t>
  </si>
  <si>
    <t>Cód. Ponto</t>
  </si>
  <si>
    <t>Almoxarifado</t>
  </si>
  <si>
    <t>Quantidade</t>
  </si>
  <si>
    <t>TOTAL DE SALDO</t>
  </si>
  <si>
    <t>QUANT.                      2º INVENTÁRIO</t>
  </si>
  <si>
    <t>QUANT.                                              1º INVENTÁRIO</t>
  </si>
  <si>
    <t>DATA INICIAL (1º INVENT)</t>
  </si>
  <si>
    <t>DATA FINAL (2º INVENT)</t>
  </si>
  <si>
    <t>HORA INICIAL (1º INVENT)</t>
  </si>
  <si>
    <t>HORA FINAL        (2º INVENT)</t>
  </si>
  <si>
    <t>ADERENCIA</t>
  </si>
  <si>
    <t>%</t>
  </si>
  <si>
    <t>1º Inventario</t>
  </si>
  <si>
    <t>2º Inventario</t>
  </si>
  <si>
    <t>SALDO DO SISTEMA</t>
  </si>
  <si>
    <t>DATA</t>
  </si>
  <si>
    <t>HORA</t>
  </si>
  <si>
    <t>PONTO</t>
  </si>
  <si>
    <t>CÓD</t>
  </si>
  <si>
    <t>DESCRIÇÃO MATERIAL</t>
  </si>
  <si>
    <t>QUANT</t>
  </si>
  <si>
    <t>Mês</t>
  </si>
  <si>
    <t>semana</t>
  </si>
  <si>
    <t>OLEO LUBRIF GRAU SAE 30 API GL-4 TB 200L</t>
  </si>
  <si>
    <t>OLEO LUBRIF ISO 68 DIN 51524 HLP TB 200L</t>
  </si>
  <si>
    <t>SAE 10W30 PLUS (COLHEDORA NOVA)</t>
  </si>
  <si>
    <t>SAE 15W40 PLUS 50 CQM13103X</t>
  </si>
  <si>
    <t>Registro</t>
  </si>
  <si>
    <t>Revisão</t>
  </si>
  <si>
    <t>Emissão</t>
  </si>
  <si>
    <t>Página</t>
  </si>
  <si>
    <t>Data</t>
  </si>
  <si>
    <t>Crachá:</t>
  </si>
  <si>
    <t>Visto:</t>
  </si>
  <si>
    <t>Cod.</t>
  </si>
  <si>
    <t>Produto</t>
  </si>
  <si>
    <t>Hora</t>
  </si>
  <si>
    <t>Unidade</t>
  </si>
  <si>
    <t>Comboio</t>
  </si>
  <si>
    <t>Depto</t>
  </si>
  <si>
    <t>REQUISIÇÕES DE MATERIAIS</t>
  </si>
  <si>
    <t>Matricula</t>
  </si>
  <si>
    <t>Alécio</t>
  </si>
  <si>
    <t>Gerson</t>
  </si>
  <si>
    <t>Julio</t>
  </si>
  <si>
    <t>João Carlos</t>
  </si>
  <si>
    <t>Gisele</t>
  </si>
  <si>
    <t>Graciela</t>
  </si>
  <si>
    <t>José Alessandro</t>
  </si>
  <si>
    <t>Rosemeire</t>
  </si>
  <si>
    <t>Jefferson</t>
  </si>
  <si>
    <t>Thiago</t>
  </si>
  <si>
    <t>Pedro</t>
  </si>
  <si>
    <t>Lucas</t>
  </si>
  <si>
    <t>Matheus</t>
  </si>
  <si>
    <t>Willians</t>
  </si>
  <si>
    <t>agosto</t>
  </si>
  <si>
    <t>Responsavel Contr:</t>
  </si>
  <si>
    <t>Comboista:</t>
  </si>
  <si>
    <t>ALMOXARIFADO (OK)</t>
  </si>
  <si>
    <t>Jean</t>
  </si>
  <si>
    <t>Agrícola</t>
  </si>
  <si>
    <t>OK</t>
  </si>
  <si>
    <t>Cod Requisição Almoxarifado:</t>
  </si>
  <si>
    <t>NÃO</t>
  </si>
  <si>
    <t>OLEO 15W-40 PLUS 50 JOHN DEERE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</si>
</sst>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/mm/yy;@"/>
    <numFmt numFmtId="165" formatCode="h:mm;@"/>
    <numFmt numFmtId="166" formatCode="#0.00"/>
    <numFmt numFmtId="167" formatCode="[$-F400]h:mm:ss\ AM/PM"/>
    <numFmt numFmtId="168" formatCode="h:mm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9"/>
      <name val="Calibri"/>
      <family val="2"/>
      <scheme val="minor"/>
    </font>
    <font>
      <sz val="11"/>
      <color theme="1"/>
      <name val="Calibri"/>
      <family val="2"/>
    </font>
    <font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000000"/>
      <name val="Calibri"/>
      <family val="2"/>
    </font>
    <font>
      <sz val="10"/>
      <color rgb="FF000000"/>
      <name val="Calibri"/>
      <family val="2"/>
    </font>
    <font>
      <sz val="12"/>
      <color rgb="FF000000"/>
      <name val="Calibri"/>
      <family val="2"/>
    </font>
    <font>
      <sz val="12"/>
      <color theme="1"/>
      <name val="Calibri"/>
      <family val="2"/>
    </font>
    <font>
      <b/>
      <sz val="11"/>
      <color rgb="FFFFFF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  <fill>
      <patternFill patternType="solid">
        <fgColor indexed="6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4">
    <xf numFmtId="0" fontId="0" fillId="0" borderId="0" xfId="0"/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2" borderId="2" xfId="0" applyFont="1" applyFill="1" applyBorder="1"/>
    <xf numFmtId="0" fontId="3" fillId="0" borderId="1" xfId="0" applyFont="1" applyBorder="1" applyAlignment="1">
      <alignment horizontal="left"/>
    </xf>
    <xf numFmtId="0" fontId="0" fillId="0" borderId="2" xfId="0" applyFont="1" applyBorder="1"/>
    <xf numFmtId="0" fontId="3" fillId="0" borderId="3" xfId="0" applyFont="1" applyBorder="1" applyAlignment="1">
      <alignment horizontal="left"/>
    </xf>
    <xf numFmtId="0" fontId="0" fillId="0" borderId="4" xfId="0" applyFont="1" applyBorder="1"/>
    <xf numFmtId="0" fontId="3" fillId="0" borderId="0" xfId="0" applyFont="1" applyBorder="1" applyAlignment="1">
      <alignment horizontal="left"/>
    </xf>
    <xf numFmtId="0" fontId="0" fillId="0" borderId="0" xfId="0" applyFont="1" applyBorder="1"/>
    <xf numFmtId="0" fontId="2" fillId="3" borderId="5" xfId="0" applyFont="1" applyFill="1" applyBorder="1" applyAlignment="1">
      <alignment horizontal="centerContinuous"/>
    </xf>
    <xf numFmtId="0" fontId="2" fillId="3" borderId="6" xfId="0" applyFont="1" applyFill="1" applyBorder="1" applyAlignment="1">
      <alignment horizontal="centerContinuous"/>
    </xf>
    <xf numFmtId="0" fontId="2" fillId="3" borderId="7" xfId="0" applyFont="1" applyFill="1" applyBorder="1" applyAlignment="1">
      <alignment horizontal="centerContinuous"/>
    </xf>
    <xf numFmtId="0" fontId="3" fillId="2" borderId="7" xfId="0" applyFont="1" applyFill="1" applyBorder="1" applyAlignment="1">
      <alignment horizontal="left"/>
    </xf>
    <xf numFmtId="0" fontId="3" fillId="0" borderId="7" xfId="0" applyFont="1" applyBorder="1" applyAlignment="1">
      <alignment horizontal="left"/>
    </xf>
    <xf numFmtId="0" fontId="3" fillId="2" borderId="7" xfId="0" applyFont="1" applyFill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64" fontId="0" fillId="0" borderId="8" xfId="0" applyNumberFormat="1" applyBorder="1" applyAlignment="1">
      <alignment horizontal="center" vertical="center" wrapText="1"/>
    </xf>
    <xf numFmtId="165" fontId="0" fillId="0" borderId="8" xfId="0" applyNumberForma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4" fillId="0" borderId="0" xfId="0" applyNumberFormat="1" applyFont="1" applyAlignment="1">
      <alignment horizontal="center"/>
    </xf>
    <xf numFmtId="166" fontId="3" fillId="4" borderId="7" xfId="0" applyNumberFormat="1" applyFont="1" applyFill="1" applyBorder="1"/>
    <xf numFmtId="0" fontId="3" fillId="4" borderId="10" xfId="0" applyFont="1" applyFill="1" applyBorder="1"/>
    <xf numFmtId="0" fontId="3" fillId="4" borderId="13" xfId="0" applyFont="1" applyFill="1" applyBorder="1"/>
    <xf numFmtId="166" fontId="0" fillId="0" borderId="14" xfId="0" applyNumberFormat="1" applyBorder="1"/>
    <xf numFmtId="166" fontId="0" fillId="0" borderId="8" xfId="0" applyNumberFormat="1" applyBorder="1"/>
    <xf numFmtId="0" fontId="0" fillId="0" borderId="9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2" xfId="0" applyNumberFormat="1" applyBorder="1" applyAlignment="1">
      <alignment horizontal="left"/>
    </xf>
    <xf numFmtId="0" fontId="0" fillId="0" borderId="11" xfId="0" applyNumberFormat="1" applyBorder="1" applyAlignment="1">
      <alignment horizontal="left"/>
    </xf>
    <xf numFmtId="164" fontId="2" fillId="5" borderId="0" xfId="1" applyNumberFormat="1" applyFont="1" applyFill="1" applyAlignment="1">
      <alignment horizontal="center"/>
    </xf>
    <xf numFmtId="165" fontId="2" fillId="5" borderId="0" xfId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65" fontId="2" fillId="5" borderId="0" xfId="1" applyNumberFormat="1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164" fontId="2" fillId="5" borderId="0" xfId="0" applyNumberFormat="1" applyFont="1" applyFill="1" applyAlignment="1">
      <alignment horizontal="center"/>
    </xf>
    <xf numFmtId="165" fontId="2" fillId="5" borderId="0" xfId="0" applyNumberFormat="1" applyFont="1" applyFill="1" applyAlignment="1">
      <alignment horizontal="center"/>
    </xf>
    <xf numFmtId="165" fontId="2" fillId="5" borderId="0" xfId="0" applyNumberFormat="1" applyFont="1" applyFill="1" applyBorder="1" applyAlignment="1">
      <alignment horizontal="center"/>
    </xf>
    <xf numFmtId="0" fontId="2" fillId="5" borderId="0" xfId="0" applyNumberFormat="1" applyFont="1" applyFill="1" applyAlignment="1">
      <alignment horizontal="center"/>
    </xf>
    <xf numFmtId="0" fontId="2" fillId="5" borderId="0" xfId="0" applyNumberFormat="1" applyFont="1" applyFill="1" applyBorder="1" applyAlignment="1">
      <alignment horizontal="center"/>
    </xf>
    <xf numFmtId="0" fontId="0" fillId="0" borderId="8" xfId="0" applyNumberFormat="1" applyBorder="1" applyAlignment="1">
      <alignment horizontal="center" vertical="center" wrapText="1"/>
    </xf>
    <xf numFmtId="0" fontId="0" fillId="0" borderId="0" xfId="1" applyNumberFormat="1" applyFont="1" applyAlignment="1">
      <alignment horizontal="center"/>
    </xf>
    <xf numFmtId="0" fontId="6" fillId="0" borderId="0" xfId="0" applyNumberFormat="1" applyFont="1" applyAlignment="1">
      <alignment horizontal="center"/>
    </xf>
    <xf numFmtId="0" fontId="6" fillId="0" borderId="0" xfId="0" applyNumberFormat="1" applyFont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4" fontId="2" fillId="7" borderId="7" xfId="0" applyNumberFormat="1" applyFont="1" applyFill="1" applyBorder="1" applyAlignment="1">
      <alignment horizontal="center"/>
    </xf>
    <xf numFmtId="164" fontId="5" fillId="8" borderId="15" xfId="0" applyNumberFormat="1" applyFont="1" applyFill="1" applyBorder="1" applyAlignment="1">
      <alignment horizontal="centerContinuous"/>
    </xf>
    <xf numFmtId="165" fontId="5" fillId="8" borderId="16" xfId="0" applyNumberFormat="1" applyFont="1" applyFill="1" applyBorder="1" applyAlignment="1">
      <alignment horizontal="centerContinuous"/>
    </xf>
    <xf numFmtId="0" fontId="5" fillId="8" borderId="16" xfId="0" applyFont="1" applyFill="1" applyBorder="1" applyAlignment="1">
      <alignment horizontal="centerContinuous"/>
    </xf>
    <xf numFmtId="0" fontId="5" fillId="8" borderId="17" xfId="0" applyFont="1" applyFill="1" applyBorder="1" applyAlignment="1">
      <alignment horizontal="centerContinuous"/>
    </xf>
    <xf numFmtId="0" fontId="5" fillId="8" borderId="15" xfId="0" applyFont="1" applyFill="1" applyBorder="1" applyAlignment="1">
      <alignment horizontal="centerContinuous"/>
    </xf>
    <xf numFmtId="14" fontId="2" fillId="7" borderId="7" xfId="0" applyNumberFormat="1" applyFont="1" applyFill="1" applyBorder="1" applyAlignment="1">
      <alignment horizontal="center"/>
    </xf>
    <xf numFmtId="0" fontId="7" fillId="0" borderId="0" xfId="0" applyFont="1" applyFill="1" applyBorder="1"/>
    <xf numFmtId="0" fontId="9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right" vertical="center"/>
    </xf>
    <xf numFmtId="0" fontId="7" fillId="0" borderId="0" xfId="0" applyFont="1" applyFill="1" applyBorder="1" applyAlignment="1">
      <alignment vertical="top"/>
    </xf>
    <xf numFmtId="0" fontId="7" fillId="0" borderId="11" xfId="0" applyFont="1" applyFill="1" applyBorder="1"/>
    <xf numFmtId="0" fontId="7" fillId="0" borderId="11" xfId="0" applyFont="1" applyFill="1" applyBorder="1" applyAlignment="1">
      <alignment vertical="top"/>
    </xf>
    <xf numFmtId="0" fontId="7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168" fontId="2" fillId="7" borderId="7" xfId="0" applyNumberFormat="1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6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15" fillId="9" borderId="0" xfId="0" applyFont="1" applyFill="1" applyAlignment="1">
      <alignment horizontal="center"/>
    </xf>
    <xf numFmtId="166" fontId="0" fillId="0" borderId="14" xfId="0" applyNumberFormat="1" applyBorder="1"/>
    <xf numFmtId="166" fontId="0" fillId="0" borderId="8" xfId="0" applyNumberFormat="1" applyBorder="1"/>
    <xf numFmtId="0" fontId="0" fillId="0" borderId="9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2" xfId="0" applyNumberFormat="1" applyBorder="1" applyAlignment="1">
      <alignment horizontal="left"/>
    </xf>
    <xf numFmtId="0" fontId="0" fillId="0" borderId="11" xfId="0" applyNumberFormat="1" applyBorder="1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applyFont="1"/>
    <xf numFmtId="14" fontId="0" fillId="9" borderId="0" xfId="0" applyNumberFormat="1" applyFill="1" applyAlignment="1">
      <alignment horizontal="center"/>
    </xf>
    <xf numFmtId="168" fontId="0" fillId="9" borderId="0" xfId="0" applyNumberFormat="1" applyFill="1" applyAlignment="1">
      <alignment horizontal="center"/>
    </xf>
    <xf numFmtId="0" fontId="0" fillId="9" borderId="0" xfId="0" applyFill="1" applyAlignment="1">
      <alignment horizontal="center"/>
    </xf>
    <xf numFmtId="14" fontId="0" fillId="0" borderId="0" xfId="0" applyNumberFormat="1" applyFont="1" applyAlignment="1">
      <alignment horizontal="center"/>
    </xf>
    <xf numFmtId="168" fontId="0" fillId="0" borderId="0" xfId="0" applyNumberFormat="1" applyFont="1" applyAlignment="1">
      <alignment horizontal="center"/>
    </xf>
    <xf numFmtId="0" fontId="0" fillId="0" borderId="0" xfId="0" applyAlignment="1">
      <alignment horizontal="centerContinuous"/>
    </xf>
    <xf numFmtId="22" fontId="7" fillId="0" borderId="0" xfId="0" applyNumberFormat="1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23" xfId="0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 vertical="center"/>
    </xf>
    <xf numFmtId="0" fontId="14" fillId="0" borderId="11" xfId="0" applyFont="1" applyFill="1" applyBorder="1" applyAlignment="1">
      <alignment horizontal="center" vertical="center"/>
    </xf>
    <xf numFmtId="0" fontId="14" fillId="0" borderId="22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3" xfId="0" applyFont="1" applyFill="1" applyBorder="1" applyAlignment="1">
      <alignment horizontal="center" vertical="center"/>
    </xf>
    <xf numFmtId="0" fontId="13" fillId="0" borderId="12" xfId="0" applyFont="1" applyFill="1" applyBorder="1" applyAlignment="1">
      <alignment horizontal="center" vertical="center"/>
    </xf>
    <xf numFmtId="0" fontId="13" fillId="0" borderId="11" xfId="0" applyFont="1" applyFill="1" applyBorder="1" applyAlignment="1">
      <alignment horizontal="center" vertical="center"/>
    </xf>
    <xf numFmtId="0" fontId="13" fillId="0" borderId="22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left" vertical="top"/>
    </xf>
    <xf numFmtId="0" fontId="12" fillId="0" borderId="19" xfId="0" applyFont="1" applyFill="1" applyBorder="1" applyAlignment="1">
      <alignment horizontal="left" vertical="top"/>
    </xf>
    <xf numFmtId="0" fontId="12" fillId="0" borderId="20" xfId="0" applyFont="1" applyFill="1" applyBorder="1" applyAlignment="1">
      <alignment horizontal="left" vertical="top"/>
    </xf>
    <xf numFmtId="0" fontId="12" fillId="0" borderId="18" xfId="0" applyFont="1" applyFill="1" applyBorder="1" applyAlignment="1">
      <alignment horizontal="center" vertical="top"/>
    </xf>
    <xf numFmtId="0" fontId="12" fillId="0" borderId="19" xfId="0" applyFont="1" applyFill="1" applyBorder="1" applyAlignment="1">
      <alignment horizontal="center" vertical="top"/>
    </xf>
    <xf numFmtId="0" fontId="12" fillId="0" borderId="20" xfId="0" applyFont="1" applyFill="1" applyBorder="1" applyAlignment="1">
      <alignment horizontal="center" vertical="top"/>
    </xf>
    <xf numFmtId="0" fontId="7" fillId="0" borderId="18" xfId="0" applyFont="1" applyFill="1" applyBorder="1" applyAlignment="1">
      <alignment horizontal="center" vertical="top"/>
    </xf>
    <xf numFmtId="0" fontId="7" fillId="0" borderId="19" xfId="0" applyFont="1" applyFill="1" applyBorder="1" applyAlignment="1">
      <alignment horizontal="center" vertical="top"/>
    </xf>
    <xf numFmtId="0" fontId="7" fillId="0" borderId="20" xfId="0" applyFont="1" applyFill="1" applyBorder="1" applyAlignment="1">
      <alignment horizontal="center" vertical="top"/>
    </xf>
    <xf numFmtId="0" fontId="7" fillId="0" borderId="18" xfId="0" applyFont="1" applyFill="1" applyBorder="1" applyAlignment="1">
      <alignment horizontal="center" vertical="center"/>
    </xf>
    <xf numFmtId="0" fontId="7" fillId="0" borderId="19" xfId="0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/>
    </xf>
    <xf numFmtId="167" fontId="13" fillId="0" borderId="9" xfId="0" applyNumberFormat="1" applyFont="1" applyFill="1" applyBorder="1" applyAlignment="1">
      <alignment horizontal="center" vertical="center"/>
    </xf>
    <xf numFmtId="167" fontId="13" fillId="0" borderId="0" xfId="0" applyNumberFormat="1" applyFont="1" applyFill="1" applyBorder="1" applyAlignment="1">
      <alignment horizontal="center" vertical="center"/>
    </xf>
    <xf numFmtId="167" fontId="13" fillId="0" borderId="23" xfId="0" applyNumberFormat="1" applyFont="1" applyFill="1" applyBorder="1" applyAlignment="1">
      <alignment horizontal="center" vertical="center"/>
    </xf>
    <xf numFmtId="167" fontId="13" fillId="0" borderId="12" xfId="0" applyNumberFormat="1" applyFont="1" applyFill="1" applyBorder="1" applyAlignment="1">
      <alignment horizontal="center" vertical="center"/>
    </xf>
    <xf numFmtId="167" fontId="13" fillId="0" borderId="11" xfId="0" applyNumberFormat="1" applyFont="1" applyFill="1" applyBorder="1" applyAlignment="1">
      <alignment horizontal="center" vertical="center"/>
    </xf>
    <xf numFmtId="167" fontId="13" fillId="0" borderId="22" xfId="0" applyNumberFormat="1" applyFont="1" applyFill="1" applyBorder="1" applyAlignment="1">
      <alignment horizontal="center" vertical="center"/>
    </xf>
    <xf numFmtId="14" fontId="13" fillId="0" borderId="9" xfId="0" applyNumberFormat="1" applyFont="1" applyFill="1" applyBorder="1" applyAlignment="1">
      <alignment horizontal="center" vertical="center"/>
    </xf>
    <xf numFmtId="14" fontId="13" fillId="0" borderId="0" xfId="0" applyNumberFormat="1" applyFont="1" applyFill="1" applyBorder="1" applyAlignment="1">
      <alignment horizontal="center" vertical="center"/>
    </xf>
    <xf numFmtId="14" fontId="13" fillId="0" borderId="23" xfId="0" applyNumberFormat="1" applyFont="1" applyFill="1" applyBorder="1" applyAlignment="1">
      <alignment horizontal="center" vertical="center"/>
    </xf>
    <xf numFmtId="14" fontId="13" fillId="0" borderId="12" xfId="0" applyNumberFormat="1" applyFont="1" applyFill="1" applyBorder="1" applyAlignment="1">
      <alignment horizontal="center" vertical="center"/>
    </xf>
    <xf numFmtId="14" fontId="13" fillId="0" borderId="11" xfId="0" applyNumberFormat="1" applyFont="1" applyFill="1" applyBorder="1" applyAlignment="1">
      <alignment horizontal="center" vertical="center"/>
    </xf>
    <xf numFmtId="14" fontId="13" fillId="0" borderId="22" xfId="0" applyNumberFormat="1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23" xfId="0" applyFont="1" applyFill="1" applyBorder="1" applyAlignment="1">
      <alignment horizontal="center" vertical="center" wrapText="1"/>
    </xf>
    <xf numFmtId="0" fontId="13" fillId="0" borderId="12" xfId="0" applyFont="1" applyFill="1" applyBorder="1" applyAlignment="1">
      <alignment horizontal="center" vertical="center" wrapText="1"/>
    </xf>
    <xf numFmtId="0" fontId="13" fillId="0" borderId="11" xfId="0" applyFont="1" applyFill="1" applyBorder="1" applyAlignment="1">
      <alignment horizontal="center" vertical="center" wrapText="1"/>
    </xf>
    <xf numFmtId="0" fontId="13" fillId="0" borderId="22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left"/>
    </xf>
    <xf numFmtId="0" fontId="7" fillId="0" borderId="7" xfId="0" applyFont="1" applyFill="1" applyBorder="1" applyAlignment="1">
      <alignment horizontal="left" vertical="top"/>
    </xf>
    <xf numFmtId="0" fontId="7" fillId="0" borderId="0" xfId="0" applyFont="1" applyFill="1" applyBorder="1" applyAlignment="1">
      <alignment horizontal="right"/>
    </xf>
    <xf numFmtId="0" fontId="10" fillId="0" borderId="9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23" xfId="0" applyFont="1" applyFill="1" applyBorder="1" applyAlignment="1">
      <alignment horizontal="center" vertical="center"/>
    </xf>
    <xf numFmtId="0" fontId="10" fillId="0" borderId="12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2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0" borderId="10" xfId="0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12" fillId="0" borderId="18" xfId="0" applyFont="1" applyFill="1" applyBorder="1" applyAlignment="1">
      <alignment horizontal="left" vertical="center"/>
    </xf>
    <xf numFmtId="0" fontId="12" fillId="0" borderId="19" xfId="0" applyFont="1" applyFill="1" applyBorder="1" applyAlignment="1">
      <alignment horizontal="left" vertical="center"/>
    </xf>
    <xf numFmtId="0" fontId="12" fillId="0" borderId="20" xfId="0" applyFont="1" applyFill="1" applyBorder="1" applyAlignment="1">
      <alignment horizontal="left" vertical="center"/>
    </xf>
    <xf numFmtId="0" fontId="7" fillId="0" borderId="9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7" fillId="0" borderId="22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left" vertical="top"/>
    </xf>
    <xf numFmtId="0" fontId="7" fillId="0" borderId="19" xfId="0" applyFont="1" applyFill="1" applyBorder="1" applyAlignment="1">
      <alignment horizontal="left" vertical="top"/>
    </xf>
    <xf numFmtId="0" fontId="7" fillId="0" borderId="20" xfId="0" applyFont="1" applyFill="1" applyBorder="1" applyAlignment="1">
      <alignment horizontal="left" vertical="top"/>
    </xf>
    <xf numFmtId="0" fontId="11" fillId="0" borderId="8" xfId="0" applyFont="1" applyFill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top"/>
    </xf>
    <xf numFmtId="0" fontId="8" fillId="0" borderId="21" xfId="0" applyFont="1" applyFill="1" applyBorder="1" applyAlignment="1">
      <alignment horizontal="center" vertical="top"/>
    </xf>
    <xf numFmtId="0" fontId="9" fillId="0" borderId="18" xfId="0" applyFont="1" applyFill="1" applyBorder="1" applyAlignment="1">
      <alignment horizontal="center" vertical="center"/>
    </xf>
    <xf numFmtId="0" fontId="9" fillId="0" borderId="19" xfId="0" applyFont="1" applyFill="1" applyBorder="1" applyAlignment="1">
      <alignment horizontal="center" vertical="center"/>
    </xf>
    <xf numFmtId="0" fontId="9" fillId="0" borderId="20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9" fillId="0" borderId="22" xfId="0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5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h:mm;@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dd/mm/yy;@"/>
      <fill>
        <patternFill patternType="solid">
          <fgColor indexed="64"/>
          <bgColor theme="4"/>
        </patternFill>
      </fill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9"/>
        <name val="Calibri"/>
        <scheme val="minor"/>
      </font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bottom" textRotation="0" wrapText="0" relative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4"/>
        </patternFill>
      </fill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h:mm;@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dd/mm/yy;@"/>
      <fill>
        <patternFill patternType="solid">
          <fgColor indexed="64"/>
          <bgColor theme="4"/>
        </patternFill>
      </fill>
      <alignment horizontal="center" vertical="bottom" textRotation="0" wrapText="0" relative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9525</xdr:rowOff>
    </xdr:from>
    <xdr:to>
      <xdr:col>16</xdr:col>
      <xdr:colOff>600074</xdr:colOff>
      <xdr:row>0</xdr:row>
      <xdr:rowOff>266700</xdr:rowOff>
    </xdr:to>
    <xdr:sp macro="[0]!Retângulo1_Clique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992100" y="9525"/>
          <a:ext cx="1485899" cy="257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Lançamento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228600</xdr:colOff>
      <xdr:row>42</xdr:row>
      <xdr:rowOff>38100</xdr:rowOff>
    </xdr:to>
    <xdr:pic>
      <xdr:nvPicPr>
        <xdr:cNvPr id="6" name="Imagem 5" descr="http://www.potencialpetroleo.com.br/wp/wp-content/uploads/2013/10/oleo-e1382988977113.jp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261035" cy="803910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408213</xdr:colOff>
      <xdr:row>2</xdr:row>
      <xdr:rowOff>42389</xdr:rowOff>
    </xdr:from>
    <xdr:to>
      <xdr:col>14</xdr:col>
      <xdr:colOff>57880</xdr:colOff>
      <xdr:row>3</xdr:row>
      <xdr:rowOff>103889</xdr:rowOff>
    </xdr:to>
    <xdr:sp macro="[0]!BoasVindas_Clique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7150256" y="423389"/>
          <a:ext cx="1488407" cy="252000"/>
        </a:xfrm>
        <a:prstGeom prst="rect">
          <a:avLst/>
        </a:prstGeom>
        <a:ln w="34925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entury Gothic" panose="020B0502020202020204" pitchFamily="34" charset="0"/>
            </a:rPr>
            <a:t>Lançamento</a:t>
          </a:r>
        </a:p>
      </xdr:txBody>
    </xdr:sp>
    <xdr:clientData/>
  </xdr:twoCellAnchor>
  <xdr:twoCellAnchor>
    <xdr:from>
      <xdr:col>8</xdr:col>
      <xdr:colOff>530087</xdr:colOff>
      <xdr:row>2</xdr:row>
      <xdr:rowOff>30172</xdr:rowOff>
    </xdr:from>
    <xdr:to>
      <xdr:col>11</xdr:col>
      <xdr:colOff>157370</xdr:colOff>
      <xdr:row>3</xdr:row>
      <xdr:rowOff>91672</xdr:rowOff>
    </xdr:to>
    <xdr:sp macro="[0]!usuario_Clique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433391" y="411172"/>
          <a:ext cx="1466022" cy="25200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entury Gothic" panose="020B0502020202020204" pitchFamily="34" charset="0"/>
            </a:rPr>
            <a:t>Trocar Usuário</a:t>
          </a:r>
        </a:p>
      </xdr:txBody>
    </xdr:sp>
    <xdr:clientData/>
  </xdr:twoCellAnchor>
  <xdr:twoCellAnchor>
    <xdr:from>
      <xdr:col>5</xdr:col>
      <xdr:colOff>248479</xdr:colOff>
      <xdr:row>1</xdr:row>
      <xdr:rowOff>37108</xdr:rowOff>
    </xdr:from>
    <xdr:to>
      <xdr:col>8</xdr:col>
      <xdr:colOff>165653</xdr:colOff>
      <xdr:row>3</xdr:row>
      <xdr:rowOff>107674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989AAF9C-2D16-4E5F-B802-D3B5DE013989}"/>
            </a:ext>
          </a:extLst>
        </xdr:cNvPr>
        <xdr:cNvSpPr txBox="1"/>
      </xdr:nvSpPr>
      <xdr:spPr>
        <a:xfrm>
          <a:off x="3313044" y="227608"/>
          <a:ext cx="1755913" cy="451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Login:</a:t>
          </a:r>
          <a:r>
            <a:rPr lang="pt-BR" sz="1100" baseline="0"/>
            <a:t> admin</a:t>
          </a:r>
        </a:p>
        <a:p>
          <a:r>
            <a:rPr lang="pt-BR" sz="1100" baseline="0"/>
            <a:t>Senha: 9090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</xdr:colOff>
      <xdr:row>1</xdr:row>
      <xdr:rowOff>27215</xdr:rowOff>
    </xdr:from>
    <xdr:to>
      <xdr:col>21</xdr:col>
      <xdr:colOff>2927</xdr:colOff>
      <xdr:row>2</xdr:row>
      <xdr:rowOff>214033</xdr:rowOff>
    </xdr:to>
    <xdr:pic>
      <xdr:nvPicPr>
        <xdr:cNvPr id="4" name="Imagem 3" descr="Logo_simplificado_menor.jp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-7405"/>
        <a:stretch>
          <a:fillRect/>
        </a:stretch>
      </xdr:blipFill>
      <xdr:spPr bwMode="auto">
        <a:xfrm>
          <a:off x="9526" y="122465"/>
          <a:ext cx="661309" cy="3773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1</xdr:colOff>
      <xdr:row>18</xdr:row>
      <xdr:rowOff>27215</xdr:rowOff>
    </xdr:from>
    <xdr:ext cx="610144" cy="377318"/>
    <xdr:pic>
      <xdr:nvPicPr>
        <xdr:cNvPr id="5" name="Imagem 4" descr="Logo_simplificado_menor.jp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-7405"/>
        <a:stretch>
          <a:fillRect/>
        </a:stretch>
      </xdr:blipFill>
      <xdr:spPr bwMode="auto">
        <a:xfrm>
          <a:off x="107157" y="74840"/>
          <a:ext cx="610144" cy="3773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1</xdr:colOff>
      <xdr:row>35</xdr:row>
      <xdr:rowOff>27215</xdr:rowOff>
    </xdr:from>
    <xdr:ext cx="574426" cy="377318"/>
    <xdr:pic>
      <xdr:nvPicPr>
        <xdr:cNvPr id="10" name="Imagem 9" descr="Logo_simplificado_menor.jp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-7405"/>
        <a:stretch>
          <a:fillRect/>
        </a:stretch>
      </xdr:blipFill>
      <xdr:spPr bwMode="auto">
        <a:xfrm>
          <a:off x="156883" y="72039"/>
          <a:ext cx="574426" cy="3773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ables/table1.xml><?xml version="1.0" encoding="utf-8"?>
<table xmlns="http://schemas.openxmlformats.org/spreadsheetml/2006/main" id="1" name="Tabela1" displayName="Tabela1" ref="A2:Q130" totalsRowShown="0" headerRowDxfId="22" dataDxfId="20" headerRowBorderDxfId="21" tableBorderDxfId="19">
  <autoFilter ref="A2:Q130"/>
  <tableColumns count="17">
    <tableColumn id="1" name="DATA INICIAL (1º INVENT)" dataDxfId="18"/>
    <tableColumn id="14" name="HORA INICIAL (1º INVENT)" dataDxfId="17"/>
    <tableColumn id="2" name="DEPTO" dataDxfId="16"/>
    <tableColumn id="3" name="COMBOIO" dataDxfId="15">
      <calculatedColumnFormula>VLOOKUP(C3,'BD MAT.'!$E:$F,2,0)</calculatedColumnFormula>
    </tableColumn>
    <tableColumn id="4" name="CÓDIGO PRODU" dataDxfId="14"/>
    <tableColumn id="5" name="DESCRIÇÃO" dataDxfId="13">
      <calculatedColumnFormula>IFERROR(VLOOKUP(E3,'BD MAT.'!$A:$B,2,0),"")</calculatedColumnFormula>
    </tableColumn>
    <tableColumn id="6" name="USA" dataDxfId="12">
      <calculatedColumnFormula>VLOOKUP(C3,'BD MAT.'!$E:$G,3,0)</calculatedColumnFormula>
    </tableColumn>
    <tableColumn id="7" name="QUANT.                                              1º INVENTÁRIO" dataDxfId="11"/>
    <tableColumn id="8" name="ENTRADAS  NO PERÍODO" dataDxfId="10">
      <calculatedColumnFormula>SUMIFS(REQUISIÇÕES!$H:$H,REQUISIÇÕES!$F:$F,Tabela1[[#This Row],[CÓDIGO PRODU]],REQUISIÇÕES!$E:$E,Tabela1[[#This Row],[DEPTO]])</calculatedColumnFormula>
    </tableColumn>
    <tableColumn id="16" name="TOTAL DE SALDO" dataDxfId="9">
      <calculatedColumnFormula>H3+I3</calculatedColumnFormula>
    </tableColumn>
    <tableColumn id="9" name="SAÍDAS NO PERÍODO" dataDxfId="8">
      <calculatedColumnFormula>SUMIFS('lançamento cubo CPP'!$C:$C,'lançamento cubo CPP'!$B:$B,Tabela1[[#This Row],[CÓDIGO PRODU]],'lançamento cubo CPP'!$A:$A,Tabela1[[#This Row],[COMBOIO]])</calculatedColumnFormula>
    </tableColumn>
    <tableColumn id="15" name="SALDO DO SISTEMA" dataDxfId="7">
      <calculatedColumnFormula>J3-K3</calculatedColumnFormula>
    </tableColumn>
    <tableColumn id="10" name="DATA FINAL (2º INVENT)" dataDxfId="6" dataCellStyle="Porcentagem"/>
    <tableColumn id="13" name="HORA FINAL        (2º INVENT)" dataDxfId="5" dataCellStyle="Porcentagem"/>
    <tableColumn id="12" name="QUANT.                      2º INVENTÁRIO" dataDxfId="4"/>
    <tableColumn id="17" name="ADERENCIA" dataDxfId="3">
      <calculatedColumnFormula>O3-L3</calculatedColumnFormula>
    </tableColumn>
    <tableColumn id="18" name="%" dataDxfId="2" dataCellStyle="Porcentagem">
      <calculatedColumnFormula>SUMIFS(REQUISIÇÕES!$N:$N,REQUISIÇÕES!$K:$K,E3,REQUISIÇÕES!$G:$G,D3)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Q130"/>
  <sheetViews>
    <sheetView zoomScale="70" zoomScaleNormal="70" workbookViewId="0">
      <pane ySplit="2" topLeftCell="A3" activePane="bottomLeft" state="frozen"/>
      <selection activeCell="D1" sqref="D1"/>
      <selection pane="bottomLeft" activeCell="I23" sqref="I23"/>
    </sheetView>
  </sheetViews>
  <sheetFormatPr defaultRowHeight="15" x14ac:dyDescent="0.25"/>
  <cols>
    <col min="1" max="1" width="14.42578125" style="20" customWidth="1"/>
    <col min="2" max="2" width="13" style="28" customWidth="1"/>
    <col min="3" max="3" width="12.28515625" style="1" customWidth="1"/>
    <col min="4" max="4" width="12.85546875" style="1" customWidth="1"/>
    <col min="5" max="5" width="16.85546875" style="1" customWidth="1"/>
    <col min="6" max="6" width="36.140625" style="1" hidden="1" customWidth="1"/>
    <col min="7" max="7" width="18.28515625" style="1" customWidth="1"/>
    <col min="8" max="8" width="17" style="1" customWidth="1"/>
    <col min="9" max="9" width="21.140625" style="1" customWidth="1"/>
    <col min="10" max="10" width="17" style="1" customWidth="1"/>
    <col min="11" max="12" width="14.42578125" style="1" customWidth="1"/>
    <col min="13" max="13" width="18.42578125" style="20" customWidth="1"/>
    <col min="14" max="14" width="17" style="28" customWidth="1"/>
    <col min="15" max="15" width="17.140625" customWidth="1"/>
    <col min="16" max="16" width="18.140625" customWidth="1"/>
  </cols>
  <sheetData>
    <row r="1" spans="1:17" ht="21.75" thickBot="1" x14ac:dyDescent="0.4">
      <c r="A1" s="55" t="s">
        <v>35</v>
      </c>
      <c r="B1" s="56"/>
      <c r="C1" s="57"/>
      <c r="D1" s="57"/>
      <c r="E1" s="57"/>
      <c r="F1" s="57"/>
      <c r="G1" s="57"/>
      <c r="H1" s="58"/>
      <c r="I1" s="77" t="s">
        <v>1</v>
      </c>
      <c r="M1" s="59" t="s">
        <v>36</v>
      </c>
      <c r="N1" s="57"/>
      <c r="O1" s="58"/>
    </row>
    <row r="2" spans="1:17" s="25" customFormat="1" ht="30" x14ac:dyDescent="0.25">
      <c r="A2" s="26" t="s">
        <v>29</v>
      </c>
      <c r="B2" s="27" t="s">
        <v>31</v>
      </c>
      <c r="C2" s="24" t="s">
        <v>0</v>
      </c>
      <c r="D2" s="24" t="s">
        <v>1</v>
      </c>
      <c r="E2" s="24" t="s">
        <v>2</v>
      </c>
      <c r="F2" s="24" t="s">
        <v>3</v>
      </c>
      <c r="G2" s="24" t="s">
        <v>17</v>
      </c>
      <c r="H2" s="24" t="s">
        <v>28</v>
      </c>
      <c r="I2" s="24" t="s">
        <v>21</v>
      </c>
      <c r="J2" s="24" t="s">
        <v>26</v>
      </c>
      <c r="K2" s="24" t="s">
        <v>20</v>
      </c>
      <c r="L2" s="24" t="s">
        <v>37</v>
      </c>
      <c r="M2" s="26" t="s">
        <v>30</v>
      </c>
      <c r="N2" s="27" t="s">
        <v>32</v>
      </c>
      <c r="O2" s="24" t="s">
        <v>27</v>
      </c>
      <c r="P2" s="24" t="s">
        <v>33</v>
      </c>
      <c r="Q2" s="49" t="s">
        <v>34</v>
      </c>
    </row>
    <row r="3" spans="1:17" ht="15.75" x14ac:dyDescent="0.25">
      <c r="A3" s="44">
        <v>42590</v>
      </c>
      <c r="B3" s="45">
        <v>0.35416666666666669</v>
      </c>
      <c r="C3" s="1">
        <v>233</v>
      </c>
      <c r="D3" s="22">
        <f>VLOOKUP(C3,'BD MAT.'!$E:$F,2,0)</f>
        <v>508</v>
      </c>
      <c r="E3" s="1">
        <v>15692</v>
      </c>
      <c r="F3" s="1" t="str">
        <f>IFERROR(VLOOKUP(E3,'BD MAT.'!$A:$B,2,0),"")</f>
        <v>OLEO LUBRIF SAE 15W40 API CJ-4S/M</v>
      </c>
      <c r="G3" s="22" t="str">
        <f>VLOOKUP(C3,'BD MAT.'!$E:$G,3,0)</f>
        <v>PI</v>
      </c>
      <c r="H3" s="47">
        <v>740</v>
      </c>
      <c r="I3" s="73">
        <f>SUMIFS(REQUISIÇÕES!$H:$H,REQUISIÇÕES!$F:$F,Tabela1[[#This Row],[CÓDIGO PRODU]],REQUISIÇÕES!$E:$E,Tabela1[[#This Row],[DEPTO]])</f>
        <v>1000</v>
      </c>
      <c r="J3" s="51">
        <f t="shared" ref="J3:J35" si="0">H3+I3</f>
        <v>1740</v>
      </c>
      <c r="K3" s="22">
        <f>SUMIFS('lançamento cubo CPP'!$C:$C,'lançamento cubo CPP'!$B:$B,Tabela1[[#This Row],[CÓDIGO PRODU]],'lançamento cubo CPP'!$A:$A,Tabela1[[#This Row],[COMBOIO]])</f>
        <v>0</v>
      </c>
      <c r="L3" s="22">
        <f>J3-K3</f>
        <v>1740</v>
      </c>
      <c r="M3" s="39"/>
      <c r="N3" s="40"/>
      <c r="O3" s="41"/>
      <c r="P3" s="22">
        <f>O3-L3</f>
        <v>-1740</v>
      </c>
      <c r="Q3" s="50">
        <f>SUMIFS(REQUISIÇÕES!$N:$N,REQUISIÇÕES!$K:$K,E3,REQUISIÇÕES!$G:$G,D3)</f>
        <v>0</v>
      </c>
    </row>
    <row r="4" spans="1:17" ht="15.75" x14ac:dyDescent="0.25">
      <c r="A4" s="44">
        <v>42590</v>
      </c>
      <c r="B4" s="45">
        <v>0.35416666666666669</v>
      </c>
      <c r="C4" s="21">
        <v>233</v>
      </c>
      <c r="D4" s="22">
        <f>VLOOKUP(C4,'BD MAT.'!$E:$F,2,0)</f>
        <v>508</v>
      </c>
      <c r="E4" s="21">
        <v>107124</v>
      </c>
      <c r="F4" s="21" t="str">
        <f>IFERROR(VLOOKUP(E4,'BD MAT.'!$A:$B,2,0),"")</f>
        <v>GRAXA LUBRIF COMPLEXO LITIO NLGI-2 170KG</v>
      </c>
      <c r="G4" s="23" t="str">
        <f>VLOOKUP(C4,'BD MAT.'!$E:$G,3,0)</f>
        <v>PI</v>
      </c>
      <c r="H4" s="47">
        <v>170</v>
      </c>
      <c r="I4" s="73">
        <f>SUMIFS(REQUISIÇÕES!$H:$H,REQUISIÇÕES!$F:$F,Tabela1[[#This Row],[CÓDIGO PRODU]],REQUISIÇÕES!$E:$E,Tabela1[[#This Row],[DEPTO]])</f>
        <v>0</v>
      </c>
      <c r="J4" s="52">
        <f t="shared" si="0"/>
        <v>170</v>
      </c>
      <c r="K4" s="23">
        <f>SUMIFS('lançamento cubo CPP'!$C:$C,'lançamento cubo CPP'!$B:$B,Tabela1[[#This Row],[CÓDIGO PRODU]],'lançamento cubo CPP'!$A:$A,Tabela1[[#This Row],[COMBOIO]])</f>
        <v>0</v>
      </c>
      <c r="L4" s="23">
        <f t="shared" ref="L4:L35" si="1">J4-K4</f>
        <v>170</v>
      </c>
      <c r="M4" s="39"/>
      <c r="N4" s="42"/>
      <c r="O4" s="41"/>
      <c r="P4" s="22">
        <f t="shared" ref="P4:P35" si="2">O4-L4</f>
        <v>-170</v>
      </c>
      <c r="Q4" s="50">
        <f>SUMIFS(REQUISIÇÕES!$N:$N,REQUISIÇÕES!$K:$K,E4,REQUISIÇÕES!$G:$G,D4)</f>
        <v>0</v>
      </c>
    </row>
    <row r="5" spans="1:17" ht="15.75" x14ac:dyDescent="0.25">
      <c r="A5" s="44">
        <v>42590</v>
      </c>
      <c r="B5" s="45">
        <v>0.35416666666666669</v>
      </c>
      <c r="C5" s="21">
        <v>233</v>
      </c>
      <c r="D5" s="22">
        <f>VLOOKUP(C5,'BD MAT.'!$E:$F,2,0)</f>
        <v>508</v>
      </c>
      <c r="E5" s="21">
        <v>2025</v>
      </c>
      <c r="F5" s="21" t="str">
        <f>IFERROR(VLOOKUP(E5,'BD MAT.'!$A:$B,2,0),"")</f>
        <v>OLEO LUBRIF ISO 68 DIN 51524 HLP TB 200L</v>
      </c>
      <c r="G5" s="23" t="str">
        <f>VLOOKUP(C5,'BD MAT.'!$E:$G,3,0)</f>
        <v>PI</v>
      </c>
      <c r="H5" s="47">
        <v>167</v>
      </c>
      <c r="I5" s="73">
        <f>SUMIFS(REQUISIÇÕES!$H:$H,REQUISIÇÕES!$F:$F,Tabela1[[#This Row],[CÓDIGO PRODU]],REQUISIÇÕES!$E:$E,Tabela1[[#This Row],[DEPTO]])</f>
        <v>200</v>
      </c>
      <c r="J5" s="52">
        <f t="shared" si="0"/>
        <v>367</v>
      </c>
      <c r="K5" s="23">
        <f>SUMIFS('lançamento cubo CPP'!$C:$C,'lançamento cubo CPP'!$B:$B,Tabela1[[#This Row],[CÓDIGO PRODU]],'lançamento cubo CPP'!$A:$A,Tabela1[[#This Row],[COMBOIO]])</f>
        <v>0</v>
      </c>
      <c r="L5" s="23">
        <f t="shared" si="1"/>
        <v>367</v>
      </c>
      <c r="M5" s="39"/>
      <c r="N5" s="42"/>
      <c r="O5" s="41"/>
      <c r="P5" s="22">
        <f t="shared" si="2"/>
        <v>-367</v>
      </c>
      <c r="Q5" s="50">
        <f>SUMIFS(REQUISIÇÕES!$N:$N,REQUISIÇÕES!$K:$K,E5,REQUISIÇÕES!$G:$G,D5)</f>
        <v>0</v>
      </c>
    </row>
    <row r="6" spans="1:17" ht="15.75" x14ac:dyDescent="0.25">
      <c r="A6" s="44">
        <v>42590</v>
      </c>
      <c r="B6" s="45">
        <v>0.35416666666666669</v>
      </c>
      <c r="C6" s="21">
        <v>233</v>
      </c>
      <c r="D6" s="22">
        <f>VLOOKUP(C6,'BD MAT.'!$E:$F,2,0)</f>
        <v>508</v>
      </c>
      <c r="E6" s="21">
        <v>54213</v>
      </c>
      <c r="F6" s="21" t="str">
        <f>IFERROR(VLOOKUP(E6,'BD MAT.'!$A:$B,2,0),"")</f>
        <v>OLEO LUBR SAE 10W30 MULT G NH410B</v>
      </c>
      <c r="G6" s="23" t="str">
        <f>VLOOKUP(C6,'BD MAT.'!$E:$G,3,0)</f>
        <v>PI</v>
      </c>
      <c r="H6" s="47">
        <v>170</v>
      </c>
      <c r="I6" s="73">
        <f>SUMIFS(REQUISIÇÕES!$H:$H,REQUISIÇÕES!$F:$F,Tabela1[[#This Row],[CÓDIGO PRODU]],REQUISIÇÕES!$E:$E,Tabela1[[#This Row],[DEPTO]])</f>
        <v>0</v>
      </c>
      <c r="J6" s="52">
        <f t="shared" si="0"/>
        <v>170</v>
      </c>
      <c r="K6" s="23">
        <f>SUMIFS('lançamento cubo CPP'!$C:$C,'lançamento cubo CPP'!$B:$B,Tabela1[[#This Row],[CÓDIGO PRODU]],'lançamento cubo CPP'!$A:$A,Tabela1[[#This Row],[COMBOIO]])</f>
        <v>0</v>
      </c>
      <c r="L6" s="23">
        <f t="shared" si="1"/>
        <v>170</v>
      </c>
      <c r="M6" s="39"/>
      <c r="N6" s="42"/>
      <c r="O6" s="41"/>
      <c r="P6" s="22">
        <f t="shared" si="2"/>
        <v>-170</v>
      </c>
      <c r="Q6" s="50">
        <f>SUMIFS(REQUISIÇÕES!$N:$N,REQUISIÇÕES!$K:$K,E6,REQUISIÇÕES!$G:$G,D6)</f>
        <v>0</v>
      </c>
    </row>
    <row r="7" spans="1:17" ht="15.75" x14ac:dyDescent="0.25">
      <c r="A7" s="44">
        <v>42590</v>
      </c>
      <c r="B7" s="45">
        <v>0.35416666666666669</v>
      </c>
      <c r="C7" s="21">
        <v>233</v>
      </c>
      <c r="D7" s="22">
        <f>VLOOKUP(C7,'BD MAT.'!$E:$F,2,0)</f>
        <v>508</v>
      </c>
      <c r="E7" s="21">
        <v>50717</v>
      </c>
      <c r="F7" s="21" t="str">
        <f>IFERROR(VLOOKUP(E7,'BD MAT.'!$A:$B,2,0),"")</f>
        <v>OLEO LUBRIF SAE 85W140 API GL-5 TB 200L</v>
      </c>
      <c r="G7" s="23" t="str">
        <f>VLOOKUP(C7,'BD MAT.'!$E:$G,3,0)</f>
        <v>PI</v>
      </c>
      <c r="H7" s="47">
        <v>181</v>
      </c>
      <c r="I7" s="73">
        <f>SUMIFS(REQUISIÇÕES!$H:$H,REQUISIÇÕES!$F:$F,Tabela1[[#This Row],[CÓDIGO PRODU]],REQUISIÇÕES!$E:$E,Tabela1[[#This Row],[DEPTO]])</f>
        <v>0</v>
      </c>
      <c r="J7" s="52">
        <f t="shared" si="0"/>
        <v>181</v>
      </c>
      <c r="K7" s="23">
        <f>SUMIFS('lançamento cubo CPP'!$C:$C,'lançamento cubo CPP'!$B:$B,Tabela1[[#This Row],[CÓDIGO PRODU]],'lançamento cubo CPP'!$A:$A,Tabela1[[#This Row],[COMBOIO]])</f>
        <v>0</v>
      </c>
      <c r="L7" s="23">
        <f t="shared" si="1"/>
        <v>181</v>
      </c>
      <c r="M7" s="39"/>
      <c r="N7" s="42"/>
      <c r="O7" s="41"/>
      <c r="P7" s="22">
        <f t="shared" si="2"/>
        <v>-181</v>
      </c>
      <c r="Q7" s="50">
        <f>SUMIFS(REQUISIÇÕES!$N:$N,REQUISIÇÕES!$K:$K,E7,REQUISIÇÕES!$G:$G,D7)</f>
        <v>0</v>
      </c>
    </row>
    <row r="8" spans="1:17" ht="15.75" x14ac:dyDescent="0.25">
      <c r="A8" s="44">
        <v>42590</v>
      </c>
      <c r="B8" s="45">
        <v>0.35416666666666669</v>
      </c>
      <c r="C8" s="1">
        <v>233</v>
      </c>
      <c r="D8" s="22">
        <f>VLOOKUP(C8,'BD MAT.'!$E:$F,2,0)</f>
        <v>508</v>
      </c>
      <c r="E8" s="1">
        <v>169378</v>
      </c>
      <c r="F8" s="1" t="str">
        <f>IFERROR(VLOOKUP(E8,'BD MAT.'!$A:$B,2,0),"")</f>
        <v/>
      </c>
      <c r="G8" s="22" t="str">
        <f>VLOOKUP(C8,'BD MAT.'!$E:$G,3,0)</f>
        <v>PI</v>
      </c>
      <c r="H8" s="47">
        <v>1</v>
      </c>
      <c r="I8" s="73">
        <f>SUMIFS(REQUISIÇÕES!$H:$H,REQUISIÇÕES!$F:$F,Tabela1[[#This Row],[CÓDIGO PRODU]],REQUISIÇÕES!$E:$E,Tabela1[[#This Row],[DEPTO]])</f>
        <v>0</v>
      </c>
      <c r="J8" s="51">
        <f t="shared" si="0"/>
        <v>1</v>
      </c>
      <c r="K8" s="22">
        <f>SUMIFS('lançamento cubo CPP'!$C:$C,'lançamento cubo CPP'!$B:$B,Tabela1[[#This Row],[CÓDIGO PRODU]],'lançamento cubo CPP'!$A:$A,Tabela1[[#This Row],[COMBOIO]])</f>
        <v>0</v>
      </c>
      <c r="L8" s="22">
        <f t="shared" si="1"/>
        <v>1</v>
      </c>
      <c r="M8" s="39"/>
      <c r="N8" s="40"/>
      <c r="O8" s="41"/>
      <c r="P8" s="22">
        <f t="shared" si="2"/>
        <v>-1</v>
      </c>
      <c r="Q8" s="50">
        <f>SUMIFS(REQUISIÇÕES!$N:$N,REQUISIÇÕES!$K:$K,E8,REQUISIÇÕES!$G:$G,D8)</f>
        <v>0</v>
      </c>
    </row>
    <row r="9" spans="1:17" ht="15.75" x14ac:dyDescent="0.25">
      <c r="A9" s="44">
        <v>42590</v>
      </c>
      <c r="B9" s="45">
        <v>0.35416666666666669</v>
      </c>
      <c r="C9" s="1">
        <v>233</v>
      </c>
      <c r="D9" s="22">
        <f>VLOOKUP(C9,'BD MAT.'!$E:$F,2,0)</f>
        <v>508</v>
      </c>
      <c r="E9" s="1">
        <v>140211</v>
      </c>
      <c r="F9" s="1" t="str">
        <f>IFERROR(VLOOKUP(E9,'BD MAT.'!$A:$B,2,0),"")</f>
        <v>SAE 10W30 PLUS (COLHEDORA NOVA)</v>
      </c>
      <c r="G9" s="22" t="str">
        <f>VLOOKUP(C9,'BD MAT.'!$E:$G,3,0)</f>
        <v>PI</v>
      </c>
      <c r="H9" s="47">
        <v>20</v>
      </c>
      <c r="I9" s="73">
        <f>SUMIFS(REQUISIÇÕES!$H:$H,REQUISIÇÕES!$F:$F,Tabela1[[#This Row],[CÓDIGO PRODU]],REQUISIÇÕES!$E:$E,Tabela1[[#This Row],[DEPTO]])</f>
        <v>0</v>
      </c>
      <c r="J9" s="51">
        <f t="shared" si="0"/>
        <v>20</v>
      </c>
      <c r="K9" s="22">
        <f>SUMIFS('lançamento cubo CPP'!$C:$C,'lançamento cubo CPP'!$B:$B,Tabela1[[#This Row],[CÓDIGO PRODU]],'lançamento cubo CPP'!$A:$A,Tabela1[[#This Row],[COMBOIO]])</f>
        <v>0</v>
      </c>
      <c r="L9" s="22">
        <f t="shared" si="1"/>
        <v>20</v>
      </c>
      <c r="M9" s="39"/>
      <c r="N9" s="40"/>
      <c r="O9" s="41"/>
      <c r="P9" s="22">
        <f t="shared" si="2"/>
        <v>-20</v>
      </c>
      <c r="Q9" s="50">
        <f>SUMIFS(REQUISIÇÕES!$N:$N,REQUISIÇÕES!$K:$K,E9,REQUISIÇÕES!$G:$G,D9)</f>
        <v>0</v>
      </c>
    </row>
    <row r="10" spans="1:17" ht="15.75" x14ac:dyDescent="0.25">
      <c r="A10" s="44">
        <v>42590</v>
      </c>
      <c r="B10" s="45">
        <v>0.35416666666666669</v>
      </c>
      <c r="C10" s="1">
        <v>233</v>
      </c>
      <c r="D10" s="22">
        <f>VLOOKUP(C10,'BD MAT.'!$E:$F,2,0)</f>
        <v>508</v>
      </c>
      <c r="E10" s="1">
        <v>86355</v>
      </c>
      <c r="F10" s="1" t="str">
        <f>IFERROR(VLOOKUP(E10,'BD MAT.'!$A:$B,2,0),"")</f>
        <v xml:space="preserve">OLEO LUBRIF HIDR TIPO ATF A TB 200L     </v>
      </c>
      <c r="G10" s="22" t="str">
        <f>VLOOKUP(C10,'BD MAT.'!$E:$G,3,0)</f>
        <v>PI</v>
      </c>
      <c r="H10" s="47">
        <v>14</v>
      </c>
      <c r="I10" s="73">
        <f>SUMIFS(REQUISIÇÕES!$H:$H,REQUISIÇÕES!$F:$F,Tabela1[[#This Row],[CÓDIGO PRODU]],REQUISIÇÕES!$E:$E,Tabela1[[#This Row],[DEPTO]])</f>
        <v>0</v>
      </c>
      <c r="J10" s="51">
        <f>H10+I10</f>
        <v>14</v>
      </c>
      <c r="K10" s="22">
        <f>SUMIFS('lançamento cubo CPP'!$C:$C,'lançamento cubo CPP'!$B:$B,Tabela1[[#This Row],[CÓDIGO PRODU]],'lançamento cubo CPP'!$A:$A,Tabela1[[#This Row],[COMBOIO]])</f>
        <v>0</v>
      </c>
      <c r="L10" s="22">
        <f>J10-K10</f>
        <v>14</v>
      </c>
      <c r="M10" s="39"/>
      <c r="N10" s="40"/>
      <c r="O10" s="41"/>
      <c r="P10" s="22">
        <f>O10-L10</f>
        <v>-14</v>
      </c>
      <c r="Q10" s="50">
        <f>SUMIFS(REQUISIÇÕES!$N:$N,REQUISIÇÕES!$K:$K,E10,REQUISIÇÕES!$G:$G,D10)</f>
        <v>0</v>
      </c>
    </row>
    <row r="11" spans="1:17" ht="15.75" x14ac:dyDescent="0.25">
      <c r="A11" s="44">
        <v>42590</v>
      </c>
      <c r="B11" s="46">
        <v>0.64236111111111105</v>
      </c>
      <c r="C11" s="21">
        <v>234</v>
      </c>
      <c r="D11" s="22">
        <f>VLOOKUP(C11,'BD MAT.'!$E:$F,2,0)</f>
        <v>523</v>
      </c>
      <c r="E11" s="21">
        <v>107124</v>
      </c>
      <c r="F11" s="21" t="str">
        <f>IFERROR(VLOOKUP(E11,'BD MAT.'!$A:$B,2,0),"")</f>
        <v>GRAXA LUBRIF COMPLEXO LITIO NLGI-2 170KG</v>
      </c>
      <c r="G11" s="23" t="str">
        <f>VLOOKUP(C11,'BD MAT.'!$E:$G,3,0)</f>
        <v>PI</v>
      </c>
      <c r="H11" s="47">
        <v>150</v>
      </c>
      <c r="I11" s="73">
        <f>SUMIFS(REQUISIÇÕES!$H:$H,REQUISIÇÕES!$F:$F,Tabela1[[#This Row],[CÓDIGO PRODU]],REQUISIÇÕES!$E:$E,Tabela1[[#This Row],[DEPTO]])</f>
        <v>0</v>
      </c>
      <c r="J11" s="52">
        <f t="shared" si="0"/>
        <v>150</v>
      </c>
      <c r="K11" s="23">
        <f>SUMIFS('lançamento cubo CPP'!$C:$C,'lançamento cubo CPP'!$B:$B,Tabela1[[#This Row],[CÓDIGO PRODU]],'lançamento cubo CPP'!$A:$A,Tabela1[[#This Row],[COMBOIO]])</f>
        <v>0</v>
      </c>
      <c r="L11" s="23">
        <f t="shared" si="1"/>
        <v>150</v>
      </c>
      <c r="M11" s="39"/>
      <c r="N11" s="42"/>
      <c r="O11" s="41"/>
      <c r="P11" s="22">
        <f t="shared" si="2"/>
        <v>-150</v>
      </c>
      <c r="Q11" s="50">
        <f>SUMIFS(REQUISIÇÕES!$N:$N,REQUISIÇÕES!$K:$K,E11,REQUISIÇÕES!$G:$G,D11)</f>
        <v>0</v>
      </c>
    </row>
    <row r="12" spans="1:17" ht="15.75" x14ac:dyDescent="0.25">
      <c r="A12" s="44">
        <v>42590</v>
      </c>
      <c r="B12" s="46">
        <v>0.64236111111111105</v>
      </c>
      <c r="C12" s="1">
        <v>234</v>
      </c>
      <c r="D12" s="22">
        <f>VLOOKUP(C12,'BD MAT.'!$E:$F,2,0)</f>
        <v>523</v>
      </c>
      <c r="E12" s="1">
        <v>15692</v>
      </c>
      <c r="F12" s="1" t="str">
        <f>IFERROR(VLOOKUP(E12,'BD MAT.'!$A:$B,2,0),"")</f>
        <v>OLEO LUBRIF SAE 15W40 API CJ-4S/M</v>
      </c>
      <c r="G12" s="22" t="str">
        <f>VLOOKUP(C12,'BD MAT.'!$E:$G,3,0)</f>
        <v>PI</v>
      </c>
      <c r="H12" s="47">
        <v>250</v>
      </c>
      <c r="I12" s="73">
        <f>SUMIFS(REQUISIÇÕES!$H:$H,REQUISIÇÕES!$F:$F,Tabela1[[#This Row],[CÓDIGO PRODU]],REQUISIÇÕES!$E:$E,Tabela1[[#This Row],[DEPTO]])</f>
        <v>600</v>
      </c>
      <c r="J12" s="51">
        <f t="shared" si="0"/>
        <v>850</v>
      </c>
      <c r="K12" s="22">
        <f>SUMIFS('lançamento cubo CPP'!$C:$C,'lançamento cubo CPP'!$B:$B,Tabela1[[#This Row],[CÓDIGO PRODU]],'lançamento cubo CPP'!$A:$A,Tabela1[[#This Row],[COMBOIO]])</f>
        <v>0</v>
      </c>
      <c r="L12" s="22">
        <f t="shared" si="1"/>
        <v>850</v>
      </c>
      <c r="M12" s="39"/>
      <c r="N12" s="40"/>
      <c r="O12" s="41"/>
      <c r="P12" s="22">
        <f t="shared" si="2"/>
        <v>-850</v>
      </c>
      <c r="Q12" s="50">
        <f>SUMIFS(REQUISIÇÕES!$N:$N,REQUISIÇÕES!$K:$K,E12,REQUISIÇÕES!$G:$G,D12)</f>
        <v>0</v>
      </c>
    </row>
    <row r="13" spans="1:17" ht="15.75" x14ac:dyDescent="0.25">
      <c r="A13" s="44">
        <v>42590</v>
      </c>
      <c r="B13" s="46">
        <v>0.64236111111111105</v>
      </c>
      <c r="C13" s="1">
        <v>234</v>
      </c>
      <c r="D13" s="22">
        <f>VLOOKUP(C13,'BD MAT.'!$E:$F,2,0)</f>
        <v>523</v>
      </c>
      <c r="E13" s="1">
        <v>2025</v>
      </c>
      <c r="F13" s="1" t="str">
        <f>IFERROR(VLOOKUP(E13,'BD MAT.'!$A:$B,2,0),"")</f>
        <v>OLEO LUBRIF ISO 68 DIN 51524 HLP TB 200L</v>
      </c>
      <c r="G13" s="22" t="str">
        <f>VLOOKUP(C13,'BD MAT.'!$E:$G,3,0)</f>
        <v>PI</v>
      </c>
      <c r="H13" s="47">
        <v>80</v>
      </c>
      <c r="I13" s="73">
        <f>SUMIFS(REQUISIÇÕES!$H:$H,REQUISIÇÕES!$F:$F,Tabela1[[#This Row],[CÓDIGO PRODU]],REQUISIÇÕES!$E:$E,Tabela1[[#This Row],[DEPTO]])</f>
        <v>0</v>
      </c>
      <c r="J13" s="51">
        <f t="shared" si="0"/>
        <v>80</v>
      </c>
      <c r="K13" s="22">
        <f>SUMIFS('lançamento cubo CPP'!$C:$C,'lançamento cubo CPP'!$B:$B,Tabela1[[#This Row],[CÓDIGO PRODU]],'lançamento cubo CPP'!$A:$A,Tabela1[[#This Row],[COMBOIO]])</f>
        <v>0</v>
      </c>
      <c r="L13" s="22">
        <f t="shared" si="1"/>
        <v>80</v>
      </c>
      <c r="M13" s="39"/>
      <c r="N13" s="40"/>
      <c r="O13" s="41"/>
      <c r="P13" s="22">
        <f t="shared" si="2"/>
        <v>-80</v>
      </c>
      <c r="Q13" s="50">
        <f>SUMIFS(REQUISIÇÕES!$N:$N,REQUISIÇÕES!$K:$K,E13,REQUISIÇÕES!$G:$G,D13)</f>
        <v>0</v>
      </c>
    </row>
    <row r="14" spans="1:17" ht="15.75" x14ac:dyDescent="0.25">
      <c r="A14" s="44">
        <v>42590</v>
      </c>
      <c r="B14" s="46">
        <v>0.64236111111111105</v>
      </c>
      <c r="C14" s="1">
        <v>234</v>
      </c>
      <c r="D14" s="22">
        <f>VLOOKUP(C14,'BD MAT.'!$E:$F,2,0)</f>
        <v>523</v>
      </c>
      <c r="E14" s="1">
        <v>50717</v>
      </c>
      <c r="F14" s="1" t="str">
        <f>IFERROR(VLOOKUP(E14,'BD MAT.'!$A:$B,2,0),"")</f>
        <v>OLEO LUBRIF SAE 85W140 API GL-5 TB 200L</v>
      </c>
      <c r="G14" s="22" t="str">
        <f>VLOOKUP(C14,'BD MAT.'!$E:$G,3,0)</f>
        <v>PI</v>
      </c>
      <c r="H14" s="47">
        <v>180</v>
      </c>
      <c r="I14" s="73">
        <f>SUMIFS(REQUISIÇÕES!$H:$H,REQUISIÇÕES!$F:$F,Tabela1[[#This Row],[CÓDIGO PRODU]],REQUISIÇÕES!$E:$E,Tabela1[[#This Row],[DEPTO]])</f>
        <v>0</v>
      </c>
      <c r="J14" s="51">
        <f t="shared" si="0"/>
        <v>180</v>
      </c>
      <c r="K14" s="22">
        <f>SUMIFS('lançamento cubo CPP'!$C:$C,'lançamento cubo CPP'!$B:$B,Tabela1[[#This Row],[CÓDIGO PRODU]],'lançamento cubo CPP'!$A:$A,Tabela1[[#This Row],[COMBOIO]])</f>
        <v>0</v>
      </c>
      <c r="L14" s="22">
        <f t="shared" si="1"/>
        <v>180</v>
      </c>
      <c r="M14" s="39"/>
      <c r="N14" s="40"/>
      <c r="O14" s="41"/>
      <c r="P14" s="22">
        <f t="shared" si="2"/>
        <v>-180</v>
      </c>
      <c r="Q14" s="50">
        <f>SUMIFS(REQUISIÇÕES!$N:$N,REQUISIÇÕES!$K:$K,E14,REQUISIÇÕES!$G:$G,D14)</f>
        <v>0</v>
      </c>
    </row>
    <row r="15" spans="1:17" ht="15.75" x14ac:dyDescent="0.25">
      <c r="A15" s="44">
        <v>42590</v>
      </c>
      <c r="B15" s="46">
        <v>0.64236111111111105</v>
      </c>
      <c r="C15" s="1">
        <v>234</v>
      </c>
      <c r="D15" s="22">
        <f>VLOOKUP(C15,'BD MAT.'!$E:$F,2,0)</f>
        <v>523</v>
      </c>
      <c r="E15" s="1">
        <v>54213</v>
      </c>
      <c r="F15" s="1" t="str">
        <f>IFERROR(VLOOKUP(E15,'BD MAT.'!$A:$B,2,0),"")</f>
        <v>OLEO LUBR SAE 10W30 MULT G NH410B</v>
      </c>
      <c r="G15" s="22" t="str">
        <f>VLOOKUP(C15,'BD MAT.'!$E:$G,3,0)</f>
        <v>PI</v>
      </c>
      <c r="H15" s="47">
        <v>80</v>
      </c>
      <c r="I15" s="73">
        <f>SUMIFS(REQUISIÇÕES!$H:$H,REQUISIÇÕES!$F:$F,Tabela1[[#This Row],[CÓDIGO PRODU]],REQUISIÇÕES!$E:$E,Tabela1[[#This Row],[DEPTO]])</f>
        <v>0</v>
      </c>
      <c r="J15" s="51">
        <f t="shared" si="0"/>
        <v>80</v>
      </c>
      <c r="K15" s="22">
        <f>SUMIFS('lançamento cubo CPP'!$C:$C,'lançamento cubo CPP'!$B:$B,Tabela1[[#This Row],[CÓDIGO PRODU]],'lançamento cubo CPP'!$A:$A,Tabela1[[#This Row],[COMBOIO]])</f>
        <v>0</v>
      </c>
      <c r="L15" s="22">
        <f t="shared" si="1"/>
        <v>80</v>
      </c>
      <c r="M15" s="39"/>
      <c r="N15" s="40"/>
      <c r="O15" s="41"/>
      <c r="P15" s="22">
        <f t="shared" si="2"/>
        <v>-80</v>
      </c>
      <c r="Q15" s="50">
        <f>SUMIFS(REQUISIÇÕES!$N:$N,REQUISIÇÕES!$K:$K,E15,REQUISIÇÕES!$G:$G,D15)</f>
        <v>0</v>
      </c>
    </row>
    <row r="16" spans="1:17" ht="15.75" x14ac:dyDescent="0.25">
      <c r="A16" s="44">
        <v>42590</v>
      </c>
      <c r="B16" s="46">
        <v>0.64236111111111105</v>
      </c>
      <c r="C16" s="1">
        <v>234</v>
      </c>
      <c r="D16" s="22">
        <f>VLOOKUP(C16,'BD MAT.'!$E:$F,2,0)</f>
        <v>523</v>
      </c>
      <c r="E16" s="1">
        <v>86355</v>
      </c>
      <c r="F16" s="1" t="str">
        <f>IFERROR(VLOOKUP(E16,'BD MAT.'!$A:$B,2,0),"")</f>
        <v xml:space="preserve">OLEO LUBRIF HIDR TIPO ATF A TB 200L     </v>
      </c>
      <c r="G16" s="22" t="str">
        <f>VLOOKUP(C16,'BD MAT.'!$E:$G,3,0)</f>
        <v>PI</v>
      </c>
      <c r="H16" s="47">
        <v>8</v>
      </c>
      <c r="I16" s="73">
        <f>SUMIFS(REQUISIÇÕES!$H:$H,REQUISIÇÕES!$F:$F,Tabela1[[#This Row],[CÓDIGO PRODU]],REQUISIÇÕES!$E:$E,Tabela1[[#This Row],[DEPTO]])</f>
        <v>0</v>
      </c>
      <c r="J16" s="51">
        <f t="shared" si="0"/>
        <v>8</v>
      </c>
      <c r="K16" s="22">
        <f>SUMIFS('lançamento cubo CPP'!$C:$C,'lançamento cubo CPP'!$B:$B,Tabela1[[#This Row],[CÓDIGO PRODU]],'lançamento cubo CPP'!$A:$A,Tabela1[[#This Row],[COMBOIO]])</f>
        <v>0</v>
      </c>
      <c r="L16" s="22">
        <f t="shared" si="1"/>
        <v>8</v>
      </c>
      <c r="M16" s="39"/>
      <c r="N16" s="40"/>
      <c r="O16" s="41"/>
      <c r="P16" s="22">
        <f t="shared" si="2"/>
        <v>-8</v>
      </c>
      <c r="Q16" s="50">
        <f>SUMIFS(REQUISIÇÕES!$N:$N,REQUISIÇÕES!$K:$K,E16,REQUISIÇÕES!$G:$G,D16)</f>
        <v>0</v>
      </c>
    </row>
    <row r="17" spans="1:17" ht="15.75" x14ac:dyDescent="0.25">
      <c r="A17" s="44">
        <v>42590</v>
      </c>
      <c r="B17" s="46">
        <v>0.64236111111111105</v>
      </c>
      <c r="C17" s="1">
        <v>234</v>
      </c>
      <c r="D17" s="22">
        <f>VLOOKUP(C17,'BD MAT.'!$E:$F,2,0)</f>
        <v>523</v>
      </c>
      <c r="E17" s="1">
        <v>15702</v>
      </c>
      <c r="F17" s="1" t="str">
        <f>IFERROR(VLOOKUP(E17,'BD MAT.'!$A:$B,2,0),"")</f>
        <v xml:space="preserve">OLEO LUBRIF GRAU SAE 40 API CF 200L    </v>
      </c>
      <c r="G17" s="22" t="str">
        <f>VLOOKUP(C17,'BD MAT.'!$E:$G,3,0)</f>
        <v>PI</v>
      </c>
      <c r="H17" s="47">
        <v>20</v>
      </c>
      <c r="I17" s="73">
        <f>SUMIFS(REQUISIÇÕES!$H:$H,REQUISIÇÕES!$F:$F,Tabela1[[#This Row],[CÓDIGO PRODU]],REQUISIÇÕES!$E:$E,Tabela1[[#This Row],[DEPTO]])</f>
        <v>0</v>
      </c>
      <c r="J17" s="51">
        <f t="shared" si="0"/>
        <v>20</v>
      </c>
      <c r="K17" s="22">
        <f>SUMIFS('lançamento cubo CPP'!$C:$C,'lançamento cubo CPP'!$B:$B,Tabela1[[#This Row],[CÓDIGO PRODU]],'lançamento cubo CPP'!$A:$A,Tabela1[[#This Row],[COMBOIO]])</f>
        <v>0</v>
      </c>
      <c r="L17" s="22">
        <f t="shared" si="1"/>
        <v>20</v>
      </c>
      <c r="M17" s="39"/>
      <c r="N17" s="40"/>
      <c r="O17" s="41"/>
      <c r="P17" s="22">
        <f t="shared" si="2"/>
        <v>-20</v>
      </c>
      <c r="Q17" s="50">
        <f>SUMIFS(REQUISIÇÕES!$N:$N,REQUISIÇÕES!$K:$K,E17,REQUISIÇÕES!$G:$G,D17)</f>
        <v>0</v>
      </c>
    </row>
    <row r="18" spans="1:17" ht="15.75" x14ac:dyDescent="0.25">
      <c r="A18" s="44">
        <v>42590</v>
      </c>
      <c r="B18" s="46">
        <v>0.64236111111111105</v>
      </c>
      <c r="C18" s="1">
        <v>234</v>
      </c>
      <c r="D18" s="22">
        <f>VLOOKUP(C18,'BD MAT.'!$E:$F,2,0)</f>
        <v>523</v>
      </c>
      <c r="E18" s="1">
        <v>15696</v>
      </c>
      <c r="F18" s="1" t="str">
        <f>IFERROR(VLOOKUP(E18,'BD MAT.'!$A:$B,2,0),"")</f>
        <v>OLEO LUBRIF GRAU SAE 30 API GL-4 TB 200L</v>
      </c>
      <c r="G18" s="22" t="str">
        <f>VLOOKUP(C18,'BD MAT.'!$E:$G,3,0)</f>
        <v>PI</v>
      </c>
      <c r="H18" s="47">
        <v>80</v>
      </c>
      <c r="I18" s="73">
        <f>SUMIFS(REQUISIÇÕES!$H:$H,REQUISIÇÕES!$F:$F,Tabela1[[#This Row],[CÓDIGO PRODU]],REQUISIÇÕES!$E:$E,Tabela1[[#This Row],[DEPTO]])</f>
        <v>200</v>
      </c>
      <c r="J18" s="51">
        <f t="shared" si="0"/>
        <v>280</v>
      </c>
      <c r="K18" s="22">
        <f>SUMIFS('lançamento cubo CPP'!$C:$C,'lançamento cubo CPP'!$B:$B,Tabela1[[#This Row],[CÓDIGO PRODU]],'lançamento cubo CPP'!$A:$A,Tabela1[[#This Row],[COMBOIO]])</f>
        <v>0</v>
      </c>
      <c r="L18" s="22">
        <f t="shared" si="1"/>
        <v>280</v>
      </c>
      <c r="M18" s="39"/>
      <c r="N18" s="40"/>
      <c r="O18" s="41"/>
      <c r="P18" s="22">
        <f t="shared" si="2"/>
        <v>-280</v>
      </c>
      <c r="Q18" s="50">
        <f>SUMIFS(REQUISIÇÕES!$N:$N,REQUISIÇÕES!$K:$K,E18,REQUISIÇÕES!$G:$G,D18)</f>
        <v>0</v>
      </c>
    </row>
    <row r="19" spans="1:17" ht="15.75" x14ac:dyDescent="0.25">
      <c r="A19" s="44">
        <v>42590</v>
      </c>
      <c r="B19" s="46">
        <v>0.64236111111111105</v>
      </c>
      <c r="C19" s="21">
        <v>234</v>
      </c>
      <c r="D19" s="22">
        <f>VLOOKUP(C19,'BD MAT.'!$E:$F,2,0)</f>
        <v>523</v>
      </c>
      <c r="E19" s="21">
        <v>140211</v>
      </c>
      <c r="F19" s="21" t="str">
        <f>IFERROR(VLOOKUP(E19,'BD MAT.'!$A:$B,2,0),"")</f>
        <v>SAE 10W30 PLUS (COLHEDORA NOVA)</v>
      </c>
      <c r="G19" s="23" t="str">
        <f>VLOOKUP(C19,'BD MAT.'!$E:$G,3,0)</f>
        <v>PI</v>
      </c>
      <c r="H19" s="47">
        <v>80</v>
      </c>
      <c r="I19" s="73">
        <f>SUMIFS(REQUISIÇÕES!$H:$H,REQUISIÇÕES!$F:$F,Tabela1[[#This Row],[CÓDIGO PRODU]],REQUISIÇÕES!$E:$E,Tabela1[[#This Row],[DEPTO]])</f>
        <v>0</v>
      </c>
      <c r="J19" s="52">
        <f t="shared" si="0"/>
        <v>80</v>
      </c>
      <c r="K19" s="23">
        <f>SUMIFS('lançamento cubo CPP'!$C:$C,'lançamento cubo CPP'!$B:$B,Tabela1[[#This Row],[CÓDIGO PRODU]],'lançamento cubo CPP'!$A:$A,Tabela1[[#This Row],[COMBOIO]])</f>
        <v>0</v>
      </c>
      <c r="L19" s="23">
        <f t="shared" si="1"/>
        <v>80</v>
      </c>
      <c r="M19" s="39"/>
      <c r="N19" s="42"/>
      <c r="O19" s="41"/>
      <c r="P19" s="22">
        <f t="shared" si="2"/>
        <v>-80</v>
      </c>
      <c r="Q19" s="50">
        <f>SUMIFS(REQUISIÇÕES!$N:$N,REQUISIÇÕES!$K:$K,E19,REQUISIÇÕES!$G:$G,D19)</f>
        <v>0</v>
      </c>
    </row>
    <row r="20" spans="1:17" ht="15.75" x14ac:dyDescent="0.25">
      <c r="A20" s="44">
        <v>42560</v>
      </c>
      <c r="B20" s="45">
        <v>0.49652777777777773</v>
      </c>
      <c r="C20" s="21">
        <v>239</v>
      </c>
      <c r="D20" s="22">
        <f>VLOOKUP(C20,'BD MAT.'!$E:$F,2,0)</f>
        <v>526</v>
      </c>
      <c r="E20" s="1">
        <v>107124</v>
      </c>
      <c r="F20" s="1" t="str">
        <f>IFERROR(VLOOKUP(E20,'BD MAT.'!$A:$B,2,0),"")</f>
        <v>GRAXA LUBRIF COMPLEXO LITIO NLGI-2 170KG</v>
      </c>
      <c r="G20" s="22" t="str">
        <f>VLOOKUP(C20,'BD MAT.'!$E:$G,3,0)</f>
        <v>PI</v>
      </c>
      <c r="H20" s="47">
        <v>150</v>
      </c>
      <c r="I20" s="73">
        <f>SUMIFS(REQUISIÇÕES!$H:$H,REQUISIÇÕES!$F:$F,Tabela1[[#This Row],[CÓDIGO PRODU]],REQUISIÇÕES!$E:$E,Tabela1[[#This Row],[DEPTO]])</f>
        <v>0</v>
      </c>
      <c r="J20" s="51">
        <f t="shared" si="0"/>
        <v>150</v>
      </c>
      <c r="K20" s="22">
        <f>SUMIFS('lançamento cubo CPP'!$C:$C,'lançamento cubo CPP'!$B:$B,Tabela1[[#This Row],[CÓDIGO PRODU]],'lançamento cubo CPP'!$A:$A,Tabela1[[#This Row],[COMBOIO]])</f>
        <v>0</v>
      </c>
      <c r="L20" s="22">
        <f t="shared" si="1"/>
        <v>150</v>
      </c>
      <c r="M20" s="39"/>
      <c r="N20" s="40"/>
      <c r="O20" s="41"/>
      <c r="P20" s="22">
        <f t="shared" si="2"/>
        <v>-150</v>
      </c>
      <c r="Q20" s="50">
        <f>SUMIFS(REQUISIÇÕES!$N:$N,REQUISIÇÕES!$K:$K,E20,REQUISIÇÕES!$G:$G,D20)</f>
        <v>0</v>
      </c>
    </row>
    <row r="21" spans="1:17" ht="15.75" x14ac:dyDescent="0.25">
      <c r="A21" s="44">
        <v>42560</v>
      </c>
      <c r="B21" s="45">
        <v>0.49652777777777773</v>
      </c>
      <c r="C21" s="21">
        <v>239</v>
      </c>
      <c r="D21" s="22">
        <f>VLOOKUP(C21,'BD MAT.'!$E:$F,2,0)</f>
        <v>526</v>
      </c>
      <c r="E21" s="1">
        <v>15692</v>
      </c>
      <c r="F21" s="1" t="str">
        <f>IFERROR(VLOOKUP(E21,'BD MAT.'!$A:$B,2,0),"")</f>
        <v>OLEO LUBRIF SAE 15W40 API CJ-4S/M</v>
      </c>
      <c r="G21" s="22" t="str">
        <f>VLOOKUP(C21,'BD MAT.'!$E:$G,3,0)</f>
        <v>PI</v>
      </c>
      <c r="H21" s="47">
        <v>345</v>
      </c>
      <c r="I21" s="73">
        <f>SUMIFS(REQUISIÇÕES!$H:$H,REQUISIÇÕES!$F:$F,Tabela1[[#This Row],[CÓDIGO PRODU]],REQUISIÇÕES!$E:$E,Tabela1[[#This Row],[DEPTO]])</f>
        <v>1600</v>
      </c>
      <c r="J21" s="51">
        <f t="shared" si="0"/>
        <v>1945</v>
      </c>
      <c r="K21" s="22">
        <f>SUMIFS('lançamento cubo CPP'!$C:$C,'lançamento cubo CPP'!$B:$B,Tabela1[[#This Row],[CÓDIGO PRODU]],'lançamento cubo CPP'!$A:$A,Tabela1[[#This Row],[COMBOIO]])</f>
        <v>0</v>
      </c>
      <c r="L21" s="22">
        <f t="shared" si="1"/>
        <v>1945</v>
      </c>
      <c r="M21" s="39"/>
      <c r="N21" s="40"/>
      <c r="O21" s="41"/>
      <c r="P21" s="22">
        <f t="shared" si="2"/>
        <v>-1945</v>
      </c>
      <c r="Q21" s="50">
        <f>SUMIFS(REQUISIÇÕES!$N:$N,REQUISIÇÕES!$K:$K,E21,REQUISIÇÕES!$G:$G,D21)</f>
        <v>0</v>
      </c>
    </row>
    <row r="22" spans="1:17" ht="15.75" x14ac:dyDescent="0.25">
      <c r="A22" s="44">
        <v>42560</v>
      </c>
      <c r="B22" s="45">
        <v>0.49652777777777773</v>
      </c>
      <c r="C22" s="21">
        <v>239</v>
      </c>
      <c r="D22" s="22">
        <f>VLOOKUP(C22,'BD MAT.'!$E:$F,2,0)</f>
        <v>526</v>
      </c>
      <c r="E22" s="1">
        <v>2025</v>
      </c>
      <c r="F22" s="1" t="str">
        <f>IFERROR(VLOOKUP(E22,'BD MAT.'!$A:$B,2,0),"")</f>
        <v>OLEO LUBRIF ISO 68 DIN 51524 HLP TB 200L</v>
      </c>
      <c r="G22" s="22" t="str">
        <f>VLOOKUP(C22,'BD MAT.'!$E:$G,3,0)</f>
        <v>PI</v>
      </c>
      <c r="H22" s="47">
        <v>80</v>
      </c>
      <c r="I22" s="73">
        <f>SUMIFS(REQUISIÇÕES!$H:$H,REQUISIÇÕES!$F:$F,Tabela1[[#This Row],[CÓDIGO PRODU]],REQUISIÇÕES!$E:$E,Tabela1[[#This Row],[DEPTO]])</f>
        <v>200</v>
      </c>
      <c r="J22" s="51">
        <f t="shared" si="0"/>
        <v>280</v>
      </c>
      <c r="K22" s="22">
        <f>SUMIFS('lançamento cubo CPP'!$C:$C,'lançamento cubo CPP'!$B:$B,Tabela1[[#This Row],[CÓDIGO PRODU]],'lançamento cubo CPP'!$A:$A,Tabela1[[#This Row],[COMBOIO]])</f>
        <v>0</v>
      </c>
      <c r="L22" s="22">
        <f t="shared" si="1"/>
        <v>280</v>
      </c>
      <c r="M22" s="39"/>
      <c r="N22" s="40"/>
      <c r="O22" s="41"/>
      <c r="P22" s="22">
        <f t="shared" si="2"/>
        <v>-280</v>
      </c>
      <c r="Q22" s="50">
        <f>SUMIFS(REQUISIÇÕES!$N:$N,REQUISIÇÕES!$K:$K,E22,REQUISIÇÕES!$G:$G,D22)</f>
        <v>0</v>
      </c>
    </row>
    <row r="23" spans="1:17" ht="15.75" x14ac:dyDescent="0.25">
      <c r="A23" s="44">
        <v>42560</v>
      </c>
      <c r="B23" s="45">
        <v>0.49652777777777773</v>
      </c>
      <c r="C23" s="21">
        <v>239</v>
      </c>
      <c r="D23" s="22">
        <f>VLOOKUP(C23,'BD MAT.'!$E:$F,2,0)</f>
        <v>526</v>
      </c>
      <c r="E23" s="1">
        <v>50717</v>
      </c>
      <c r="F23" s="1" t="str">
        <f>IFERROR(VLOOKUP(E23,'BD MAT.'!$A:$B,2,0),"")</f>
        <v>OLEO LUBRIF SAE 85W140 API GL-5 TB 200L</v>
      </c>
      <c r="G23" s="22" t="str">
        <f>VLOOKUP(C23,'BD MAT.'!$E:$G,3,0)</f>
        <v>PI</v>
      </c>
      <c r="H23" s="47">
        <v>75</v>
      </c>
      <c r="I23" s="73">
        <f>SUMIFS(REQUISIÇÕES!$H:$H,REQUISIÇÕES!$F:$F,Tabela1[[#This Row],[CÓDIGO PRODU]],REQUISIÇÕES!$E:$E,Tabela1[[#This Row],[DEPTO]])</f>
        <v>200</v>
      </c>
      <c r="J23" s="51">
        <f t="shared" si="0"/>
        <v>275</v>
      </c>
      <c r="K23" s="22">
        <f>SUMIFS('lançamento cubo CPP'!$C:$C,'lançamento cubo CPP'!$B:$B,Tabela1[[#This Row],[CÓDIGO PRODU]],'lançamento cubo CPP'!$A:$A,Tabela1[[#This Row],[COMBOIO]])</f>
        <v>0</v>
      </c>
      <c r="L23" s="22">
        <f t="shared" si="1"/>
        <v>275</v>
      </c>
      <c r="M23" s="39"/>
      <c r="N23" s="40"/>
      <c r="O23" s="41"/>
      <c r="P23" s="22">
        <f t="shared" si="2"/>
        <v>-275</v>
      </c>
      <c r="Q23" s="50">
        <f>SUMIFS(REQUISIÇÕES!$N:$N,REQUISIÇÕES!$K:$K,E23,REQUISIÇÕES!$G:$G,D23)</f>
        <v>0</v>
      </c>
    </row>
    <row r="24" spans="1:17" ht="15.75" x14ac:dyDescent="0.25">
      <c r="A24" s="44">
        <v>42560</v>
      </c>
      <c r="B24" s="45">
        <v>0.49652777777777773</v>
      </c>
      <c r="C24" s="21">
        <v>239</v>
      </c>
      <c r="D24" s="22">
        <f>VLOOKUP(C24,'BD MAT.'!$E:$F,2,0)</f>
        <v>526</v>
      </c>
      <c r="E24" s="1">
        <v>54213</v>
      </c>
      <c r="F24" s="1" t="str">
        <f>IFERROR(VLOOKUP(E24,'BD MAT.'!$A:$B,2,0),"")</f>
        <v>OLEO LUBR SAE 10W30 MULT G NH410B</v>
      </c>
      <c r="G24" s="22" t="str">
        <f>VLOOKUP(C24,'BD MAT.'!$E:$G,3,0)</f>
        <v>PI</v>
      </c>
      <c r="H24" s="47">
        <v>115</v>
      </c>
      <c r="I24" s="73">
        <f>SUMIFS(REQUISIÇÕES!$H:$H,REQUISIÇÕES!$F:$F,Tabela1[[#This Row],[CÓDIGO PRODU]],REQUISIÇÕES!$E:$E,Tabela1[[#This Row],[DEPTO]])</f>
        <v>0</v>
      </c>
      <c r="J24" s="51">
        <f>H24+I24</f>
        <v>115</v>
      </c>
      <c r="K24" s="22">
        <f>SUMIFS('lançamento cubo CPP'!$C:$C,'lançamento cubo CPP'!$B:$B,Tabela1[[#This Row],[CÓDIGO PRODU]],'lançamento cubo CPP'!$A:$A,Tabela1[[#This Row],[COMBOIO]])</f>
        <v>0</v>
      </c>
      <c r="L24" s="22">
        <f>J24-K24</f>
        <v>115</v>
      </c>
      <c r="M24" s="39"/>
      <c r="N24" s="40"/>
      <c r="O24" s="41"/>
      <c r="P24" s="22">
        <f>O24-L24</f>
        <v>-115</v>
      </c>
      <c r="Q24" s="50">
        <f>SUMIFS(REQUISIÇÕES!$N:$N,REQUISIÇÕES!$K:$K,E24,REQUISIÇÕES!$G:$G,D24)</f>
        <v>0</v>
      </c>
    </row>
    <row r="25" spans="1:17" ht="15.75" x14ac:dyDescent="0.25">
      <c r="A25" s="44">
        <v>42560</v>
      </c>
      <c r="B25" s="45">
        <v>0.49652777777777773</v>
      </c>
      <c r="C25" s="21">
        <v>239</v>
      </c>
      <c r="D25" s="22">
        <f>VLOOKUP(C25,'BD MAT.'!$E:$F,2,0)</f>
        <v>526</v>
      </c>
      <c r="E25" s="1">
        <v>86355</v>
      </c>
      <c r="F25" s="1" t="str">
        <f>IFERROR(VLOOKUP(E25,'BD MAT.'!$A:$B,2,0),"")</f>
        <v xml:space="preserve">OLEO LUBRIF HIDR TIPO ATF A TB 200L     </v>
      </c>
      <c r="G25" s="22" t="str">
        <f>VLOOKUP(C25,'BD MAT.'!$E:$G,3,0)</f>
        <v>PI</v>
      </c>
      <c r="H25" s="47">
        <v>7</v>
      </c>
      <c r="I25" s="73">
        <f>SUMIFS(REQUISIÇÕES!$H:$H,REQUISIÇÕES!$F:$F,Tabela1[[#This Row],[CÓDIGO PRODU]],REQUISIÇÕES!$E:$E,Tabela1[[#This Row],[DEPTO]])</f>
        <v>0</v>
      </c>
      <c r="J25" s="51">
        <f>H25+I25</f>
        <v>7</v>
      </c>
      <c r="K25" s="22">
        <f>SUMIFS('lançamento cubo CPP'!$C:$C,'lançamento cubo CPP'!$B:$B,Tabela1[[#This Row],[CÓDIGO PRODU]],'lançamento cubo CPP'!$A:$A,Tabela1[[#This Row],[COMBOIO]])</f>
        <v>0</v>
      </c>
      <c r="L25" s="22">
        <f>J25-K25</f>
        <v>7</v>
      </c>
      <c r="M25" s="39"/>
      <c r="N25" s="40"/>
      <c r="O25" s="41"/>
      <c r="P25" s="22">
        <f>O25-L25</f>
        <v>-7</v>
      </c>
      <c r="Q25" s="50">
        <f>SUMIFS(REQUISIÇÕES!$N:$N,REQUISIÇÕES!$K:$K,E25,REQUISIÇÕES!$G:$G,D25)</f>
        <v>0</v>
      </c>
    </row>
    <row r="26" spans="1:17" ht="15.75" x14ac:dyDescent="0.25">
      <c r="A26" s="44">
        <v>42594</v>
      </c>
      <c r="B26" s="46">
        <v>0.375</v>
      </c>
      <c r="C26" s="21">
        <v>232</v>
      </c>
      <c r="D26" s="22">
        <f>VLOOKUP(C26,'BD MAT.'!$E:$F,2,0)</f>
        <v>527</v>
      </c>
      <c r="E26" s="21">
        <v>107124</v>
      </c>
      <c r="F26" s="21" t="str">
        <f>IFERROR(VLOOKUP(E26,'BD MAT.'!$A:$B,2,0),"")</f>
        <v>GRAXA LUBRIF COMPLEXO LITIO NLGI-2 170KG</v>
      </c>
      <c r="G26" s="23" t="str">
        <f>VLOOKUP(C26,'BD MAT.'!$E:$G,3,0)</f>
        <v>PI</v>
      </c>
      <c r="H26" s="47">
        <v>50</v>
      </c>
      <c r="I26" s="73">
        <f>SUMIFS(REQUISIÇÕES!$H:$H,REQUISIÇÕES!$F:$F,Tabela1[[#This Row],[CÓDIGO PRODU]],REQUISIÇÕES!$E:$E,Tabela1[[#This Row],[DEPTO]])</f>
        <v>170</v>
      </c>
      <c r="J26" s="52">
        <f t="shared" si="0"/>
        <v>220</v>
      </c>
      <c r="K26" s="23">
        <f>SUMIFS('lançamento cubo CPP'!$C:$C,'lançamento cubo CPP'!$B:$B,Tabela1[[#This Row],[CÓDIGO PRODU]],'lançamento cubo CPP'!$A:$A,Tabela1[[#This Row],[COMBOIO]])</f>
        <v>0</v>
      </c>
      <c r="L26" s="23">
        <f t="shared" si="1"/>
        <v>220</v>
      </c>
      <c r="M26" s="39"/>
      <c r="N26" s="42"/>
      <c r="O26" s="41"/>
      <c r="P26" s="22">
        <f t="shared" si="2"/>
        <v>-220</v>
      </c>
      <c r="Q26" s="50">
        <f>SUMIFS(REQUISIÇÕES!$N:$N,REQUISIÇÕES!$K:$K,E26,REQUISIÇÕES!$G:$G,D26)</f>
        <v>0</v>
      </c>
    </row>
    <row r="27" spans="1:17" ht="15.75" x14ac:dyDescent="0.25">
      <c r="A27" s="44">
        <v>42594</v>
      </c>
      <c r="B27" s="46">
        <v>0.375</v>
      </c>
      <c r="C27" s="21">
        <v>232</v>
      </c>
      <c r="D27" s="22">
        <f>VLOOKUP(C27,'BD MAT.'!$E:$F,2,0)</f>
        <v>527</v>
      </c>
      <c r="E27" s="1">
        <v>15692</v>
      </c>
      <c r="F27" s="1" t="str">
        <f>IFERROR(VLOOKUP(E27,'BD MAT.'!$A:$B,2,0),"")</f>
        <v>OLEO LUBRIF SAE 15W40 API CJ-4S/M</v>
      </c>
      <c r="G27" s="22" t="str">
        <f>VLOOKUP(C27,'BD MAT.'!$E:$G,3,0)</f>
        <v>PI</v>
      </c>
      <c r="H27" s="47">
        <v>340</v>
      </c>
      <c r="I27" s="73">
        <f>SUMIFS(REQUISIÇÕES!$H:$H,REQUISIÇÕES!$F:$F,Tabela1[[#This Row],[CÓDIGO PRODU]],REQUISIÇÕES!$E:$E,Tabela1[[#This Row],[DEPTO]])</f>
        <v>1000</v>
      </c>
      <c r="J27" s="51">
        <f t="shared" si="0"/>
        <v>1340</v>
      </c>
      <c r="K27" s="22">
        <f>SUMIFS('lançamento cubo CPP'!$C:$C,'lançamento cubo CPP'!$B:$B,Tabela1[[#This Row],[CÓDIGO PRODU]],'lançamento cubo CPP'!$A:$A,Tabela1[[#This Row],[COMBOIO]])</f>
        <v>0</v>
      </c>
      <c r="L27" s="22">
        <f t="shared" si="1"/>
        <v>1340</v>
      </c>
      <c r="M27" s="39"/>
      <c r="N27" s="40"/>
      <c r="O27" s="41"/>
      <c r="P27" s="22">
        <f t="shared" si="2"/>
        <v>-1340</v>
      </c>
      <c r="Q27" s="50">
        <f>SUMIFS(REQUISIÇÕES!$N:$N,REQUISIÇÕES!$K:$K,E27,REQUISIÇÕES!$G:$G,D27)</f>
        <v>0</v>
      </c>
    </row>
    <row r="28" spans="1:17" ht="15.75" x14ac:dyDescent="0.25">
      <c r="A28" s="44">
        <v>42594</v>
      </c>
      <c r="B28" s="46">
        <v>0.375</v>
      </c>
      <c r="C28" s="21">
        <v>232</v>
      </c>
      <c r="D28" s="22">
        <f>VLOOKUP(C28,'BD MAT.'!$E:$F,2,0)</f>
        <v>527</v>
      </c>
      <c r="E28" s="1">
        <v>2025</v>
      </c>
      <c r="F28" s="1" t="str">
        <f>IFERROR(VLOOKUP(E28,'BD MAT.'!$A:$B,2,0),"")</f>
        <v>OLEO LUBRIF ISO 68 DIN 51524 HLP TB 200L</v>
      </c>
      <c r="G28" s="22" t="str">
        <f>VLOOKUP(C28,'BD MAT.'!$E:$G,3,0)</f>
        <v>PI</v>
      </c>
      <c r="H28" s="47">
        <v>220</v>
      </c>
      <c r="I28" s="73">
        <f>SUMIFS(REQUISIÇÕES!$H:$H,REQUISIÇÕES!$F:$F,Tabela1[[#This Row],[CÓDIGO PRODU]],REQUISIÇÕES!$E:$E,Tabela1[[#This Row],[DEPTO]])</f>
        <v>0</v>
      </c>
      <c r="J28" s="51">
        <f t="shared" si="0"/>
        <v>220</v>
      </c>
      <c r="K28" s="22">
        <f>SUMIFS('lançamento cubo CPP'!$C:$C,'lançamento cubo CPP'!$B:$B,Tabela1[[#This Row],[CÓDIGO PRODU]],'lançamento cubo CPP'!$A:$A,Tabela1[[#This Row],[COMBOIO]])</f>
        <v>0</v>
      </c>
      <c r="L28" s="22">
        <f t="shared" si="1"/>
        <v>220</v>
      </c>
      <c r="M28" s="39"/>
      <c r="N28" s="40"/>
      <c r="O28" s="41"/>
      <c r="P28" s="22">
        <f t="shared" si="2"/>
        <v>-220</v>
      </c>
      <c r="Q28" s="50">
        <f>SUMIFS(REQUISIÇÕES!$N:$N,REQUISIÇÕES!$K:$K,E28,REQUISIÇÕES!$G:$G,D28)</f>
        <v>0</v>
      </c>
    </row>
    <row r="29" spans="1:17" ht="15.75" x14ac:dyDescent="0.25">
      <c r="A29" s="44">
        <v>42594</v>
      </c>
      <c r="B29" s="46">
        <v>0.375</v>
      </c>
      <c r="C29" s="21">
        <v>232</v>
      </c>
      <c r="D29" s="22">
        <f>VLOOKUP(C29,'BD MAT.'!$E:$F,2,0)</f>
        <v>527</v>
      </c>
      <c r="E29" s="1">
        <v>50717</v>
      </c>
      <c r="F29" s="1" t="str">
        <f>IFERROR(VLOOKUP(E29,'BD MAT.'!$A:$B,2,0),"")</f>
        <v>OLEO LUBRIF SAE 85W140 API GL-5 TB 200L</v>
      </c>
      <c r="G29" s="22" t="str">
        <f>VLOOKUP(C29,'BD MAT.'!$E:$G,3,0)</f>
        <v>PI</v>
      </c>
      <c r="H29" s="47">
        <v>100</v>
      </c>
      <c r="I29" s="73">
        <f>SUMIFS(REQUISIÇÕES!$H:$H,REQUISIÇÕES!$F:$F,Tabela1[[#This Row],[CÓDIGO PRODU]],REQUISIÇÕES!$E:$E,Tabela1[[#This Row],[DEPTO]])</f>
        <v>0</v>
      </c>
      <c r="J29" s="51">
        <f t="shared" si="0"/>
        <v>100</v>
      </c>
      <c r="K29" s="22">
        <f>SUMIFS('lançamento cubo CPP'!$C:$C,'lançamento cubo CPP'!$B:$B,Tabela1[[#This Row],[CÓDIGO PRODU]],'lançamento cubo CPP'!$A:$A,Tabela1[[#This Row],[COMBOIO]])</f>
        <v>0</v>
      </c>
      <c r="L29" s="22">
        <f t="shared" si="1"/>
        <v>100</v>
      </c>
      <c r="M29" s="39"/>
      <c r="N29" s="40"/>
      <c r="O29" s="41"/>
      <c r="P29" s="22">
        <f t="shared" si="2"/>
        <v>-100</v>
      </c>
      <c r="Q29" s="50">
        <f>SUMIFS(REQUISIÇÕES!$N:$N,REQUISIÇÕES!$K:$K,E29,REQUISIÇÕES!$G:$G,D29)</f>
        <v>0</v>
      </c>
    </row>
    <row r="30" spans="1:17" ht="15.75" x14ac:dyDescent="0.25">
      <c r="A30" s="44">
        <v>42594</v>
      </c>
      <c r="B30" s="46">
        <v>0.375</v>
      </c>
      <c r="C30" s="21">
        <v>232</v>
      </c>
      <c r="D30" s="22">
        <f>VLOOKUP(C30,'BD MAT.'!$E:$F,2,0)</f>
        <v>527</v>
      </c>
      <c r="E30" s="1">
        <v>54213</v>
      </c>
      <c r="F30" s="1" t="str">
        <f>IFERROR(VLOOKUP(E30,'BD MAT.'!$A:$B,2,0),"")</f>
        <v>OLEO LUBR SAE 10W30 MULT G NH410B</v>
      </c>
      <c r="G30" s="22" t="str">
        <f>VLOOKUP(C30,'BD MAT.'!$E:$G,3,0)</f>
        <v>PI</v>
      </c>
      <c r="H30" s="47">
        <v>85</v>
      </c>
      <c r="I30" s="73">
        <f>SUMIFS(REQUISIÇÕES!$H:$H,REQUISIÇÕES!$F:$F,Tabela1[[#This Row],[CÓDIGO PRODU]],REQUISIÇÕES!$E:$E,Tabela1[[#This Row],[DEPTO]])</f>
        <v>0</v>
      </c>
      <c r="J30" s="51">
        <f t="shared" si="0"/>
        <v>85</v>
      </c>
      <c r="K30" s="22">
        <f>SUMIFS('lançamento cubo CPP'!$C:$C,'lançamento cubo CPP'!$B:$B,Tabela1[[#This Row],[CÓDIGO PRODU]],'lançamento cubo CPP'!$A:$A,Tabela1[[#This Row],[COMBOIO]])</f>
        <v>0</v>
      </c>
      <c r="L30" s="22">
        <f t="shared" si="1"/>
        <v>85</v>
      </c>
      <c r="M30" s="39"/>
      <c r="N30" s="40"/>
      <c r="O30" s="41"/>
      <c r="P30" s="22">
        <f t="shared" si="2"/>
        <v>-85</v>
      </c>
      <c r="Q30" s="50">
        <f>SUMIFS(REQUISIÇÕES!$N:$N,REQUISIÇÕES!$K:$K,E30,REQUISIÇÕES!$G:$G,D30)</f>
        <v>0</v>
      </c>
    </row>
    <row r="31" spans="1:17" ht="15.75" x14ac:dyDescent="0.25">
      <c r="A31" s="44">
        <v>42594</v>
      </c>
      <c r="B31" s="46">
        <v>0.375</v>
      </c>
      <c r="C31" s="21">
        <v>232</v>
      </c>
      <c r="D31" s="22">
        <f>VLOOKUP(C31,'BD MAT.'!$E:$F,2,0)</f>
        <v>527</v>
      </c>
      <c r="E31" s="1">
        <v>15702</v>
      </c>
      <c r="F31" s="1" t="str">
        <f>IFERROR(VLOOKUP(E31,'BD MAT.'!$A:$B,2,0),"")</f>
        <v xml:space="preserve">OLEO LUBRIF GRAU SAE 40 API CF 200L    </v>
      </c>
      <c r="G31" s="22" t="str">
        <f>VLOOKUP(C31,'BD MAT.'!$E:$G,3,0)</f>
        <v>PI</v>
      </c>
      <c r="H31" s="47">
        <v>30</v>
      </c>
      <c r="I31" s="73">
        <f>SUMIFS(REQUISIÇÕES!$H:$H,REQUISIÇÕES!$F:$F,Tabela1[[#This Row],[CÓDIGO PRODU]],REQUISIÇÕES!$E:$E,Tabela1[[#This Row],[DEPTO]])</f>
        <v>0</v>
      </c>
      <c r="J31" s="51">
        <f t="shared" si="0"/>
        <v>30</v>
      </c>
      <c r="K31" s="22">
        <f>SUMIFS('lançamento cubo CPP'!$C:$C,'lançamento cubo CPP'!$B:$B,Tabela1[[#This Row],[CÓDIGO PRODU]],'lançamento cubo CPP'!$A:$A,Tabela1[[#This Row],[COMBOIO]])</f>
        <v>0</v>
      </c>
      <c r="L31" s="22">
        <f t="shared" si="1"/>
        <v>30</v>
      </c>
      <c r="M31" s="39"/>
      <c r="N31" s="40"/>
      <c r="O31" s="41"/>
      <c r="P31" s="22">
        <f t="shared" si="2"/>
        <v>-30</v>
      </c>
      <c r="Q31" s="50">
        <f>SUMIFS(REQUISIÇÕES!$N:$N,REQUISIÇÕES!$K:$K,E31,REQUISIÇÕES!$G:$G,D31)</f>
        <v>0</v>
      </c>
    </row>
    <row r="32" spans="1:17" ht="15.75" x14ac:dyDescent="0.25">
      <c r="A32" s="44">
        <v>42594</v>
      </c>
      <c r="B32" s="46">
        <v>0.375</v>
      </c>
      <c r="C32" s="21">
        <v>232</v>
      </c>
      <c r="D32" s="22">
        <f>VLOOKUP(C32,'BD MAT.'!$E:$F,2,0)</f>
        <v>527</v>
      </c>
      <c r="E32" s="1">
        <v>15699</v>
      </c>
      <c r="F32" s="1" t="str">
        <f>IFERROR(VLOOKUP(E32,'BD MAT.'!$A:$B,2,0),"")</f>
        <v>OLEO DE TRANSMISSAO SAE 50 9X8530 TO-4</v>
      </c>
      <c r="G32" s="22" t="str">
        <f>VLOOKUP(C32,'BD MAT.'!$E:$G,3,0)</f>
        <v>PI</v>
      </c>
      <c r="H32" s="47">
        <v>35</v>
      </c>
      <c r="I32" s="73">
        <f>SUMIFS(REQUISIÇÕES!$H:$H,REQUISIÇÕES!$F:$F,Tabela1[[#This Row],[CÓDIGO PRODU]],REQUISIÇÕES!$E:$E,Tabela1[[#This Row],[DEPTO]])</f>
        <v>0</v>
      </c>
      <c r="J32" s="51">
        <f t="shared" si="0"/>
        <v>35</v>
      </c>
      <c r="K32" s="22">
        <f>SUMIFS('lançamento cubo CPP'!$C:$C,'lançamento cubo CPP'!$B:$B,Tabela1[[#This Row],[CÓDIGO PRODU]],'lançamento cubo CPP'!$A:$A,Tabela1[[#This Row],[COMBOIO]])</f>
        <v>0</v>
      </c>
      <c r="L32" s="22">
        <f t="shared" si="1"/>
        <v>35</v>
      </c>
      <c r="M32" s="39"/>
      <c r="N32" s="40"/>
      <c r="O32" s="41"/>
      <c r="P32" s="22">
        <f t="shared" si="2"/>
        <v>-35</v>
      </c>
      <c r="Q32" s="50">
        <f>SUMIFS(REQUISIÇÕES!$N:$N,REQUISIÇÕES!$K:$K,E32,REQUISIÇÕES!$G:$G,D32)</f>
        <v>0</v>
      </c>
    </row>
    <row r="33" spans="1:17" ht="15.75" x14ac:dyDescent="0.25">
      <c r="A33" s="44">
        <v>42594</v>
      </c>
      <c r="B33" s="46">
        <v>0.375</v>
      </c>
      <c r="C33" s="21">
        <v>232</v>
      </c>
      <c r="D33" s="22">
        <f>VLOOKUP(C33,'BD MAT.'!$E:$F,2,0)</f>
        <v>527</v>
      </c>
      <c r="E33" s="1">
        <v>86355</v>
      </c>
      <c r="F33" s="1" t="str">
        <f>IFERROR(VLOOKUP(E33,'BD MAT.'!$A:$B,2,0),"")</f>
        <v xml:space="preserve">OLEO LUBRIF HIDR TIPO ATF A TB 200L     </v>
      </c>
      <c r="G33" s="22" t="str">
        <f>VLOOKUP(C33,'BD MAT.'!$E:$G,3,0)</f>
        <v>PI</v>
      </c>
      <c r="H33" s="47">
        <v>20</v>
      </c>
      <c r="I33" s="73">
        <f>SUMIFS(REQUISIÇÕES!$H:$H,REQUISIÇÕES!$F:$F,Tabela1[[#This Row],[CÓDIGO PRODU]],REQUISIÇÕES!$E:$E,Tabela1[[#This Row],[DEPTO]])</f>
        <v>0</v>
      </c>
      <c r="J33" s="51">
        <f t="shared" si="0"/>
        <v>20</v>
      </c>
      <c r="K33" s="22">
        <f>SUMIFS('lançamento cubo CPP'!$C:$C,'lançamento cubo CPP'!$B:$B,Tabela1[[#This Row],[CÓDIGO PRODU]],'lançamento cubo CPP'!$A:$A,Tabela1[[#This Row],[COMBOIO]])</f>
        <v>0</v>
      </c>
      <c r="L33" s="22">
        <f t="shared" si="1"/>
        <v>20</v>
      </c>
      <c r="M33" s="39"/>
      <c r="N33" s="40"/>
      <c r="O33" s="41"/>
      <c r="P33" s="22">
        <f t="shared" si="2"/>
        <v>-20</v>
      </c>
      <c r="Q33" s="50">
        <f>SUMIFS(REQUISIÇÕES!$N:$N,REQUISIÇÕES!$K:$K,E33,REQUISIÇÕES!$G:$G,D33)</f>
        <v>0</v>
      </c>
    </row>
    <row r="34" spans="1:17" ht="15.75" x14ac:dyDescent="0.25">
      <c r="A34" s="44">
        <v>42594</v>
      </c>
      <c r="B34" s="46">
        <v>0.375</v>
      </c>
      <c r="C34" s="21">
        <v>232</v>
      </c>
      <c r="D34" s="22">
        <f>VLOOKUP(C34,'BD MAT.'!$E:$F,2,0)</f>
        <v>527</v>
      </c>
      <c r="E34" s="1">
        <v>15696</v>
      </c>
      <c r="F34" s="1" t="str">
        <f>IFERROR(VLOOKUP(E34,'BD MAT.'!$A:$B,2,0),"")</f>
        <v>OLEO LUBRIF GRAU SAE 30 API GL-4 TB 200L</v>
      </c>
      <c r="G34" s="22" t="str">
        <f>VLOOKUP(C34,'BD MAT.'!$E:$G,3,0)</f>
        <v>PI</v>
      </c>
      <c r="H34" s="47">
        <v>50</v>
      </c>
      <c r="I34" s="73">
        <f>SUMIFS(REQUISIÇÕES!$H:$H,REQUISIÇÕES!$F:$F,Tabela1[[#This Row],[CÓDIGO PRODU]],REQUISIÇÕES!$E:$E,Tabela1[[#This Row],[DEPTO]])</f>
        <v>0</v>
      </c>
      <c r="J34" s="51">
        <f t="shared" si="0"/>
        <v>50</v>
      </c>
      <c r="K34" s="22">
        <f>SUMIFS('lançamento cubo CPP'!$C:$C,'lançamento cubo CPP'!$B:$B,Tabela1[[#This Row],[CÓDIGO PRODU]],'lançamento cubo CPP'!$A:$A,Tabela1[[#This Row],[COMBOIO]])</f>
        <v>0</v>
      </c>
      <c r="L34" s="22">
        <f t="shared" si="1"/>
        <v>50</v>
      </c>
      <c r="M34" s="39"/>
      <c r="N34" s="40"/>
      <c r="O34" s="41"/>
      <c r="P34" s="22">
        <f t="shared" si="2"/>
        <v>-50</v>
      </c>
      <c r="Q34" s="50">
        <f>SUMIFS(REQUISIÇÕES!$N:$N,REQUISIÇÕES!$K:$K,E34,REQUISIÇÕES!$G:$G,D34)</f>
        <v>0</v>
      </c>
    </row>
    <row r="35" spans="1:17" ht="15.75" x14ac:dyDescent="0.25">
      <c r="A35" s="44">
        <v>42594</v>
      </c>
      <c r="B35" s="46">
        <v>0.375</v>
      </c>
      <c r="C35" s="21">
        <v>232</v>
      </c>
      <c r="D35" s="22">
        <f>VLOOKUP(C35,'BD MAT.'!$E:$F,2,0)</f>
        <v>527</v>
      </c>
      <c r="E35" s="1">
        <v>170878</v>
      </c>
      <c r="F35" s="1" t="str">
        <f>IFERROR(VLOOKUP(E35,'BD MAT.'!$A:$B,2,0),"")</f>
        <v>OLEO 15W-40 PLUS 50 JOHN DEERE</v>
      </c>
      <c r="G35" s="22" t="str">
        <f>VLOOKUP(C35,'BD MAT.'!$E:$G,3,0)</f>
        <v>PI</v>
      </c>
      <c r="H35" s="47">
        <v>200</v>
      </c>
      <c r="I35" s="73">
        <f>SUMIFS(REQUISIÇÕES!$H:$H,REQUISIÇÕES!$F:$F,Tabela1[[#This Row],[CÓDIGO PRODU]],REQUISIÇÕES!$E:$E,Tabela1[[#This Row],[DEPTO]])</f>
        <v>0</v>
      </c>
      <c r="J35" s="51">
        <f t="shared" si="0"/>
        <v>200</v>
      </c>
      <c r="K35" s="22">
        <f>SUMIFS('lançamento cubo CPP'!$C:$C,'lançamento cubo CPP'!$B:$B,Tabela1[[#This Row],[CÓDIGO PRODU]],'lançamento cubo CPP'!$A:$A,Tabela1[[#This Row],[COMBOIO]])</f>
        <v>0</v>
      </c>
      <c r="L35" s="22">
        <f t="shared" si="1"/>
        <v>200</v>
      </c>
      <c r="M35" s="39"/>
      <c r="N35" s="40"/>
      <c r="O35" s="41"/>
      <c r="P35" s="22">
        <f t="shared" si="2"/>
        <v>-200</v>
      </c>
      <c r="Q35" s="50">
        <f>SUMIFS(REQUISIÇÕES!$N:$N,REQUISIÇÕES!$K:$K,E35,REQUISIÇÕES!$G:$G,D35)</f>
        <v>0</v>
      </c>
    </row>
    <row r="36" spans="1:17" ht="15.75" x14ac:dyDescent="0.25">
      <c r="A36" s="44">
        <v>42594</v>
      </c>
      <c r="B36" s="46">
        <v>0.375</v>
      </c>
      <c r="C36" s="21">
        <v>232</v>
      </c>
      <c r="D36" s="22">
        <f>VLOOKUP(C36,'BD MAT.'!$E:$F,2,0)</f>
        <v>527</v>
      </c>
      <c r="E36" s="1">
        <v>140211</v>
      </c>
      <c r="F36" s="1" t="str">
        <f>IFERROR(VLOOKUP(E36,'BD MAT.'!$A:$B,2,0),"")</f>
        <v>SAE 10W30 PLUS (COLHEDORA NOVA)</v>
      </c>
      <c r="G36" s="22" t="str">
        <f>VLOOKUP(C36,'BD MAT.'!$E:$G,3,0)</f>
        <v>PI</v>
      </c>
      <c r="H36" s="47">
        <v>240</v>
      </c>
      <c r="I36" s="73">
        <f>SUMIFS(REQUISIÇÕES!$H:$H,REQUISIÇÕES!$F:$F,Tabela1[[#This Row],[CÓDIGO PRODU]],REQUISIÇÕES!$E:$E,Tabela1[[#This Row],[DEPTO]])</f>
        <v>0</v>
      </c>
      <c r="J36" s="51">
        <f t="shared" ref="J36:J69" si="3">H36+I36</f>
        <v>240</v>
      </c>
      <c r="K36" s="22">
        <f>SUMIFS('lançamento cubo CPP'!$C:$C,'lançamento cubo CPP'!$B:$B,Tabela1[[#This Row],[CÓDIGO PRODU]],'lançamento cubo CPP'!$A:$A,Tabela1[[#This Row],[COMBOIO]])</f>
        <v>0</v>
      </c>
      <c r="L36" s="22">
        <f t="shared" ref="L36:L69" si="4">J36-K36</f>
        <v>240</v>
      </c>
      <c r="M36" s="39"/>
      <c r="N36" s="40"/>
      <c r="O36" s="41"/>
      <c r="P36" s="22">
        <f t="shared" ref="P36:P69" si="5">O36-L36</f>
        <v>-240</v>
      </c>
      <c r="Q36" s="50">
        <f>SUMIFS(REQUISIÇÕES!$N:$N,REQUISIÇÕES!$K:$K,E36,REQUISIÇÕES!$G:$G,D36)</f>
        <v>0</v>
      </c>
    </row>
    <row r="37" spans="1:17" ht="15.75" x14ac:dyDescent="0.25">
      <c r="A37" s="44">
        <v>42594</v>
      </c>
      <c r="B37" s="46">
        <v>0.375</v>
      </c>
      <c r="C37" s="21">
        <v>232</v>
      </c>
      <c r="D37" s="22">
        <f>VLOOKUP(C37,'BD MAT.'!$E:$F,2,0)</f>
        <v>527</v>
      </c>
      <c r="E37" s="21">
        <v>169379</v>
      </c>
      <c r="F37" s="21" t="str">
        <f>IFERROR(VLOOKUP(E37,'BD MAT.'!$A:$B,2,0),"")</f>
        <v>OLEO SP90 IPIRGEROL</v>
      </c>
      <c r="G37" s="23" t="str">
        <f>VLOOKUP(C37,'BD MAT.'!$E:$G,3,0)</f>
        <v>PI</v>
      </c>
      <c r="H37" s="47">
        <v>30</v>
      </c>
      <c r="I37" s="73">
        <f>SUMIFS(REQUISIÇÕES!$H:$H,REQUISIÇÕES!$F:$F,Tabela1[[#This Row],[CÓDIGO PRODU]],REQUISIÇÕES!$E:$E,Tabela1[[#This Row],[DEPTO]])</f>
        <v>0</v>
      </c>
      <c r="J37" s="52">
        <f t="shared" si="3"/>
        <v>30</v>
      </c>
      <c r="K37" s="23">
        <f>SUMIFS('lançamento cubo CPP'!$C:$C,'lançamento cubo CPP'!$B:$B,Tabela1[[#This Row],[CÓDIGO PRODU]],'lançamento cubo CPP'!$A:$A,Tabela1[[#This Row],[COMBOIO]])</f>
        <v>0</v>
      </c>
      <c r="L37" s="23">
        <f t="shared" si="4"/>
        <v>30</v>
      </c>
      <c r="M37" s="39"/>
      <c r="N37" s="42"/>
      <c r="O37" s="41"/>
      <c r="P37" s="22">
        <f t="shared" si="5"/>
        <v>-30</v>
      </c>
      <c r="Q37" s="50">
        <f>SUMIFS(REQUISIÇÕES!$N:$N,REQUISIÇÕES!$K:$K,E37,REQUISIÇÕES!$G:$G,D37)</f>
        <v>0</v>
      </c>
    </row>
    <row r="38" spans="1:17" ht="15.75" x14ac:dyDescent="0.25">
      <c r="A38" s="44">
        <v>42594</v>
      </c>
      <c r="B38" s="46">
        <v>0.375</v>
      </c>
      <c r="C38" s="21">
        <v>232</v>
      </c>
      <c r="D38" s="22">
        <f>VLOOKUP(C38,'BD MAT.'!$E:$F,2,0)</f>
        <v>527</v>
      </c>
      <c r="E38" s="1">
        <v>130561</v>
      </c>
      <c r="F38" s="1" t="str">
        <f>IFERROR(VLOOKUP(E38,'BD MAT.'!$A:$B,2,0),"")</f>
        <v>OLEO LUBRIF HIDR GRAU ISO 100 (AKCELA)</v>
      </c>
      <c r="G38" s="22" t="str">
        <f>VLOOKUP(C38,'BD MAT.'!$E:$G,3,0)</f>
        <v>PI</v>
      </c>
      <c r="H38" s="47">
        <v>20</v>
      </c>
      <c r="I38" s="73">
        <f>SUMIFS(REQUISIÇÕES!$H:$H,REQUISIÇÕES!$F:$F,Tabela1[[#This Row],[CÓDIGO PRODU]],REQUISIÇÕES!$E:$E,Tabela1[[#This Row],[DEPTO]])</f>
        <v>0</v>
      </c>
      <c r="J38" s="51">
        <f t="shared" si="3"/>
        <v>20</v>
      </c>
      <c r="K38" s="22">
        <f>SUMIFS('lançamento cubo CPP'!$C:$C,'lançamento cubo CPP'!$B:$B,Tabela1[[#This Row],[CÓDIGO PRODU]],'lançamento cubo CPP'!$A:$A,Tabela1[[#This Row],[COMBOIO]])</f>
        <v>0</v>
      </c>
      <c r="L38" s="22">
        <f t="shared" si="4"/>
        <v>20</v>
      </c>
      <c r="M38" s="39"/>
      <c r="N38" s="40"/>
      <c r="O38" s="41"/>
      <c r="P38" s="22">
        <f t="shared" si="5"/>
        <v>-20</v>
      </c>
      <c r="Q38" s="50">
        <f>SUMIFS(REQUISIÇÕES!$N:$N,REQUISIÇÕES!$K:$K,E38,REQUISIÇÕES!$G:$G,D38)</f>
        <v>0</v>
      </c>
    </row>
    <row r="39" spans="1:17" ht="15.75" x14ac:dyDescent="0.25">
      <c r="A39" s="44">
        <v>42591</v>
      </c>
      <c r="B39" s="45">
        <v>0.34722222222222227</v>
      </c>
      <c r="C39" s="21">
        <v>230</v>
      </c>
      <c r="D39" s="22">
        <f>VLOOKUP(C39,'BD MAT.'!$E:$F,2,0)</f>
        <v>528</v>
      </c>
      <c r="E39" s="1">
        <v>107124</v>
      </c>
      <c r="F39" s="1" t="str">
        <f>IFERROR(VLOOKUP(E39,'BD MAT.'!$A:$B,2,0),"")</f>
        <v>GRAXA LUBRIF COMPLEXO LITIO NLGI-2 170KG</v>
      </c>
      <c r="G39" s="22" t="str">
        <f>VLOOKUP(C39,'BD MAT.'!$E:$G,3,0)</f>
        <v>PI</v>
      </c>
      <c r="H39" s="47">
        <v>90</v>
      </c>
      <c r="I39" s="73">
        <f>SUMIFS(REQUISIÇÕES!$H:$H,REQUISIÇÕES!$F:$F,Tabela1[[#This Row],[CÓDIGO PRODU]],REQUISIÇÕES!$E:$E,Tabela1[[#This Row],[DEPTO]])</f>
        <v>0</v>
      </c>
      <c r="J39" s="51">
        <f t="shared" si="3"/>
        <v>90</v>
      </c>
      <c r="K39" s="22">
        <f>SUMIFS('lançamento cubo CPP'!$C:$C,'lançamento cubo CPP'!$B:$B,Tabela1[[#This Row],[CÓDIGO PRODU]],'lançamento cubo CPP'!$A:$A,Tabela1[[#This Row],[COMBOIO]])</f>
        <v>0</v>
      </c>
      <c r="L39" s="22">
        <f t="shared" si="4"/>
        <v>90</v>
      </c>
      <c r="M39" s="39"/>
      <c r="N39" s="40"/>
      <c r="O39" s="41"/>
      <c r="P39" s="22">
        <f t="shared" si="5"/>
        <v>-90</v>
      </c>
      <c r="Q39" s="50">
        <f>SUMIFS(REQUISIÇÕES!$N:$N,REQUISIÇÕES!$K:$K,E39,REQUISIÇÕES!$G:$G,D39)</f>
        <v>0</v>
      </c>
    </row>
    <row r="40" spans="1:17" ht="15.75" x14ac:dyDescent="0.25">
      <c r="A40" s="44">
        <v>42591</v>
      </c>
      <c r="B40" s="45">
        <v>0.34722222222222227</v>
      </c>
      <c r="C40" s="21">
        <v>230</v>
      </c>
      <c r="D40" s="22">
        <f>VLOOKUP(C40,'BD MAT.'!$E:$F,2,0)</f>
        <v>528</v>
      </c>
      <c r="E40" s="1">
        <v>15692</v>
      </c>
      <c r="F40" s="1" t="str">
        <f>IFERROR(VLOOKUP(E40,'BD MAT.'!$A:$B,2,0),"")</f>
        <v>OLEO LUBRIF SAE 15W40 API CJ-4S/M</v>
      </c>
      <c r="G40" s="22" t="str">
        <f>VLOOKUP(C40,'BD MAT.'!$E:$G,3,0)</f>
        <v>PI</v>
      </c>
      <c r="H40" s="47">
        <v>330</v>
      </c>
      <c r="I40" s="73">
        <f>SUMIFS(REQUISIÇÕES!$H:$H,REQUISIÇÕES!$F:$F,Tabela1[[#This Row],[CÓDIGO PRODU]],REQUISIÇÕES!$E:$E,Tabela1[[#This Row],[DEPTO]])</f>
        <v>1000</v>
      </c>
      <c r="J40" s="51">
        <f t="shared" si="3"/>
        <v>1330</v>
      </c>
      <c r="K40" s="22">
        <f>SUMIFS('lançamento cubo CPP'!$C:$C,'lançamento cubo CPP'!$B:$B,Tabela1[[#This Row],[CÓDIGO PRODU]],'lançamento cubo CPP'!$A:$A,Tabela1[[#This Row],[COMBOIO]])</f>
        <v>0</v>
      </c>
      <c r="L40" s="22">
        <f t="shared" si="4"/>
        <v>1330</v>
      </c>
      <c r="M40" s="39"/>
      <c r="N40" s="40"/>
      <c r="O40" s="41"/>
      <c r="P40" s="22">
        <f t="shared" si="5"/>
        <v>-1330</v>
      </c>
      <c r="Q40" s="50">
        <f>SUMIFS(REQUISIÇÕES!$N:$N,REQUISIÇÕES!$K:$K,E40,REQUISIÇÕES!$G:$G,D40)</f>
        <v>0</v>
      </c>
    </row>
    <row r="41" spans="1:17" ht="15.75" x14ac:dyDescent="0.25">
      <c r="A41" s="44">
        <v>42591</v>
      </c>
      <c r="B41" s="45">
        <v>0.34722222222222227</v>
      </c>
      <c r="C41" s="21">
        <v>230</v>
      </c>
      <c r="D41" s="22">
        <f>VLOOKUP(C41,'BD MAT.'!$E:$F,2,0)</f>
        <v>528</v>
      </c>
      <c r="E41" s="1">
        <v>2025</v>
      </c>
      <c r="F41" s="1" t="str">
        <f>IFERROR(VLOOKUP(E41,'BD MAT.'!$A:$B,2,0),"")</f>
        <v>OLEO LUBRIF ISO 68 DIN 51524 HLP TB 200L</v>
      </c>
      <c r="G41" s="22" t="str">
        <f>VLOOKUP(C41,'BD MAT.'!$E:$G,3,0)</f>
        <v>PI</v>
      </c>
      <c r="H41" s="47">
        <v>215</v>
      </c>
      <c r="I41" s="73">
        <f>SUMIFS(REQUISIÇÕES!$H:$H,REQUISIÇÕES!$F:$F,Tabela1[[#This Row],[CÓDIGO PRODU]],REQUISIÇÕES!$E:$E,Tabela1[[#This Row],[DEPTO]])</f>
        <v>0</v>
      </c>
      <c r="J41" s="51">
        <f t="shared" si="3"/>
        <v>215</v>
      </c>
      <c r="K41" s="22">
        <f>SUMIFS('lançamento cubo CPP'!$C:$C,'lançamento cubo CPP'!$B:$B,Tabela1[[#This Row],[CÓDIGO PRODU]],'lançamento cubo CPP'!$A:$A,Tabela1[[#This Row],[COMBOIO]])</f>
        <v>0</v>
      </c>
      <c r="L41" s="22">
        <f t="shared" si="4"/>
        <v>215</v>
      </c>
      <c r="M41" s="39"/>
      <c r="N41" s="40"/>
      <c r="O41" s="41"/>
      <c r="P41" s="22">
        <f t="shared" si="5"/>
        <v>-215</v>
      </c>
      <c r="Q41" s="50">
        <f>SUMIFS(REQUISIÇÕES!$N:$N,REQUISIÇÕES!$K:$K,E41,REQUISIÇÕES!$G:$G,D41)</f>
        <v>0</v>
      </c>
    </row>
    <row r="42" spans="1:17" ht="15.75" x14ac:dyDescent="0.25">
      <c r="A42" s="44">
        <v>42591</v>
      </c>
      <c r="B42" s="45">
        <v>0.34722222222222227</v>
      </c>
      <c r="C42" s="21">
        <v>230</v>
      </c>
      <c r="D42" s="22">
        <f>VLOOKUP(C42,'BD MAT.'!$E:$F,2,0)</f>
        <v>528</v>
      </c>
      <c r="E42" s="1">
        <v>50717</v>
      </c>
      <c r="F42" s="1" t="str">
        <f>IFERROR(VLOOKUP(E42,'BD MAT.'!$A:$B,2,0),"")</f>
        <v>OLEO LUBRIF SAE 85W140 API GL-5 TB 200L</v>
      </c>
      <c r="G42" s="22" t="str">
        <f>VLOOKUP(C42,'BD MAT.'!$E:$G,3,0)</f>
        <v>PI</v>
      </c>
      <c r="H42" s="47">
        <v>120</v>
      </c>
      <c r="I42" s="73">
        <f>SUMIFS(REQUISIÇÕES!$H:$H,REQUISIÇÕES!$F:$F,Tabela1[[#This Row],[CÓDIGO PRODU]],REQUISIÇÕES!$E:$E,Tabela1[[#This Row],[DEPTO]])</f>
        <v>0</v>
      </c>
      <c r="J42" s="51">
        <f t="shared" si="3"/>
        <v>120</v>
      </c>
      <c r="K42" s="22">
        <f>SUMIFS('lançamento cubo CPP'!$C:$C,'lançamento cubo CPP'!$B:$B,Tabela1[[#This Row],[CÓDIGO PRODU]],'lançamento cubo CPP'!$A:$A,Tabela1[[#This Row],[COMBOIO]])</f>
        <v>0</v>
      </c>
      <c r="L42" s="22">
        <f t="shared" si="4"/>
        <v>120</v>
      </c>
      <c r="M42" s="39"/>
      <c r="N42" s="40"/>
      <c r="O42" s="41"/>
      <c r="P42" s="22">
        <f t="shared" si="5"/>
        <v>-120</v>
      </c>
      <c r="Q42" s="50">
        <f>SUMIFS(REQUISIÇÕES!$N:$N,REQUISIÇÕES!$K:$K,E42,REQUISIÇÕES!$G:$G,D42)</f>
        <v>0</v>
      </c>
    </row>
    <row r="43" spans="1:17" ht="15.75" x14ac:dyDescent="0.25">
      <c r="A43" s="44">
        <v>42591</v>
      </c>
      <c r="B43" s="45">
        <v>0.34722222222222227</v>
      </c>
      <c r="C43" s="21">
        <v>230</v>
      </c>
      <c r="D43" s="22">
        <f>VLOOKUP(C43,'BD MAT.'!$E:$F,2,0)</f>
        <v>528</v>
      </c>
      <c r="E43" s="1">
        <v>54213</v>
      </c>
      <c r="F43" s="1" t="str">
        <f>IFERROR(VLOOKUP(E43,'BD MAT.'!$A:$B,2,0),"")</f>
        <v>OLEO LUBR SAE 10W30 MULT G NH410B</v>
      </c>
      <c r="G43" s="22" t="str">
        <f>VLOOKUP(C43,'BD MAT.'!$E:$G,3,0)</f>
        <v>PI</v>
      </c>
      <c r="H43" s="47">
        <v>120</v>
      </c>
      <c r="I43" s="73">
        <f>SUMIFS(REQUISIÇÕES!$H:$H,REQUISIÇÕES!$F:$F,Tabela1[[#This Row],[CÓDIGO PRODU]],REQUISIÇÕES!$E:$E,Tabela1[[#This Row],[DEPTO]])</f>
        <v>0</v>
      </c>
      <c r="J43" s="51">
        <f t="shared" si="3"/>
        <v>120</v>
      </c>
      <c r="K43" s="22">
        <f>SUMIFS('lançamento cubo CPP'!$C:$C,'lançamento cubo CPP'!$B:$B,Tabela1[[#This Row],[CÓDIGO PRODU]],'lançamento cubo CPP'!$A:$A,Tabela1[[#This Row],[COMBOIO]])</f>
        <v>0</v>
      </c>
      <c r="L43" s="22">
        <f t="shared" si="4"/>
        <v>120</v>
      </c>
      <c r="M43" s="39"/>
      <c r="N43" s="40"/>
      <c r="O43" s="41"/>
      <c r="P43" s="22">
        <f t="shared" si="5"/>
        <v>-120</v>
      </c>
      <c r="Q43" s="50">
        <f>SUMIFS(REQUISIÇÕES!$N:$N,REQUISIÇÕES!$K:$K,E43,REQUISIÇÕES!$G:$G,D43)</f>
        <v>0</v>
      </c>
    </row>
    <row r="44" spans="1:17" ht="15.75" x14ac:dyDescent="0.25">
      <c r="A44" s="44">
        <v>42591</v>
      </c>
      <c r="B44" s="45">
        <v>0.34722222222222227</v>
      </c>
      <c r="C44" s="21">
        <v>230</v>
      </c>
      <c r="D44" s="22">
        <f>VLOOKUP(C44,'BD MAT.'!$E:$F,2,0)</f>
        <v>528</v>
      </c>
      <c r="E44" s="1">
        <v>15696</v>
      </c>
      <c r="F44" s="1" t="str">
        <f>IFERROR(VLOOKUP(E44,'BD MAT.'!$A:$B,2,0),"")</f>
        <v>OLEO LUBRIF GRAU SAE 30 API GL-4 TB 200L</v>
      </c>
      <c r="G44" s="22" t="str">
        <f>VLOOKUP(C44,'BD MAT.'!$E:$G,3,0)</f>
        <v>PI</v>
      </c>
      <c r="H44" s="47">
        <v>15</v>
      </c>
      <c r="I44" s="73">
        <f>SUMIFS(REQUISIÇÕES!$H:$H,REQUISIÇÕES!$F:$F,Tabela1[[#This Row],[CÓDIGO PRODU]],REQUISIÇÕES!$E:$E,Tabela1[[#This Row],[DEPTO]])</f>
        <v>0</v>
      </c>
      <c r="J44" s="51">
        <f t="shared" si="3"/>
        <v>15</v>
      </c>
      <c r="K44" s="22">
        <f>SUMIFS('lançamento cubo CPP'!$C:$C,'lançamento cubo CPP'!$B:$B,Tabela1[[#This Row],[CÓDIGO PRODU]],'lançamento cubo CPP'!$A:$A,Tabela1[[#This Row],[COMBOIO]])</f>
        <v>0</v>
      </c>
      <c r="L44" s="22">
        <f t="shared" si="4"/>
        <v>15</v>
      </c>
      <c r="M44" s="39"/>
      <c r="N44" s="40"/>
      <c r="O44" s="41"/>
      <c r="P44" s="22">
        <f t="shared" si="5"/>
        <v>-15</v>
      </c>
      <c r="Q44" s="50">
        <f>SUMIFS(REQUISIÇÕES!$N:$N,REQUISIÇÕES!$K:$K,E44,REQUISIÇÕES!$G:$G,D44)</f>
        <v>0</v>
      </c>
    </row>
    <row r="45" spans="1:17" ht="15.75" x14ac:dyDescent="0.25">
      <c r="A45" s="44">
        <v>42591</v>
      </c>
      <c r="B45" s="45">
        <v>0.34722222222222227</v>
      </c>
      <c r="C45" s="21">
        <v>230</v>
      </c>
      <c r="D45" s="22">
        <f>VLOOKUP(C45,'BD MAT.'!$E:$F,2,0)</f>
        <v>528</v>
      </c>
      <c r="E45" s="1">
        <v>86355</v>
      </c>
      <c r="F45" s="1" t="str">
        <f>IFERROR(VLOOKUP(E45,'BD MAT.'!$A:$B,2,0),"")</f>
        <v xml:space="preserve">OLEO LUBRIF HIDR TIPO ATF A TB 200L     </v>
      </c>
      <c r="G45" s="22" t="str">
        <f>VLOOKUP(C45,'BD MAT.'!$E:$G,3,0)</f>
        <v>PI</v>
      </c>
      <c r="H45" s="47">
        <v>15</v>
      </c>
      <c r="I45" s="73">
        <f>SUMIFS(REQUISIÇÕES!$H:$H,REQUISIÇÕES!$F:$F,Tabela1[[#This Row],[CÓDIGO PRODU]],REQUISIÇÕES!$E:$E,Tabela1[[#This Row],[DEPTO]])</f>
        <v>0</v>
      </c>
      <c r="J45" s="51">
        <f t="shared" si="3"/>
        <v>15</v>
      </c>
      <c r="K45" s="22">
        <f>SUMIFS('lançamento cubo CPP'!$C:$C,'lançamento cubo CPP'!$B:$B,Tabela1[[#This Row],[CÓDIGO PRODU]],'lançamento cubo CPP'!$A:$A,Tabela1[[#This Row],[COMBOIO]])</f>
        <v>0</v>
      </c>
      <c r="L45" s="22">
        <f t="shared" si="4"/>
        <v>15</v>
      </c>
      <c r="M45" s="39"/>
      <c r="N45" s="40"/>
      <c r="O45" s="41"/>
      <c r="P45" s="22">
        <f t="shared" si="5"/>
        <v>-15</v>
      </c>
      <c r="Q45" s="50">
        <f>SUMIFS(REQUISIÇÕES!$N:$N,REQUISIÇÕES!$K:$K,E45,REQUISIÇÕES!$G:$G,D45)</f>
        <v>0</v>
      </c>
    </row>
    <row r="46" spans="1:17" ht="15.75" x14ac:dyDescent="0.25">
      <c r="A46" s="44">
        <v>42591</v>
      </c>
      <c r="B46" s="45">
        <v>0.34722222222222227</v>
      </c>
      <c r="C46" s="21">
        <v>230</v>
      </c>
      <c r="D46" s="22">
        <f>VLOOKUP(C46,'BD MAT.'!$E:$F,2,0)</f>
        <v>528</v>
      </c>
      <c r="E46" s="1">
        <v>130561</v>
      </c>
      <c r="F46" s="1" t="str">
        <f>IFERROR(VLOOKUP(E46,'BD MAT.'!$A:$B,2,0),"")</f>
        <v>OLEO LUBRIF HIDR GRAU ISO 100 (AKCELA)</v>
      </c>
      <c r="G46" s="22" t="str">
        <f>VLOOKUP(C46,'BD MAT.'!$E:$G,3,0)</f>
        <v>PI</v>
      </c>
      <c r="H46" s="47">
        <v>20</v>
      </c>
      <c r="I46" s="73">
        <f>SUMIFS(REQUISIÇÕES!$H:$H,REQUISIÇÕES!$F:$F,Tabela1[[#This Row],[CÓDIGO PRODU]],REQUISIÇÕES!$E:$E,Tabela1[[#This Row],[DEPTO]])</f>
        <v>0</v>
      </c>
      <c r="J46" s="51">
        <f t="shared" si="3"/>
        <v>20</v>
      </c>
      <c r="K46" s="22">
        <f>SUMIFS('lançamento cubo CPP'!$C:$C,'lançamento cubo CPP'!$B:$B,Tabela1[[#This Row],[CÓDIGO PRODU]],'lançamento cubo CPP'!$A:$A,Tabela1[[#This Row],[COMBOIO]])</f>
        <v>0</v>
      </c>
      <c r="L46" s="22">
        <f t="shared" si="4"/>
        <v>20</v>
      </c>
      <c r="M46" s="39"/>
      <c r="N46" s="40"/>
      <c r="O46" s="41"/>
      <c r="P46" s="22">
        <f t="shared" si="5"/>
        <v>-20</v>
      </c>
      <c r="Q46" s="50">
        <f>SUMIFS(REQUISIÇÕES!$N:$N,REQUISIÇÕES!$K:$K,E46,REQUISIÇÕES!$G:$G,D46)</f>
        <v>0</v>
      </c>
    </row>
    <row r="47" spans="1:17" ht="15.75" x14ac:dyDescent="0.25">
      <c r="A47" s="44">
        <v>42591</v>
      </c>
      <c r="B47" s="45">
        <v>0.34722222222222227</v>
      </c>
      <c r="C47" s="70">
        <v>230</v>
      </c>
      <c r="D47" s="71">
        <f>VLOOKUP(C47,'BD MAT.'!$E:$F,2,0)</f>
        <v>528</v>
      </c>
      <c r="E47" s="72">
        <v>140211</v>
      </c>
      <c r="F47" s="72" t="str">
        <f>IFERROR(VLOOKUP(E47,'BD MAT.'!$A:$B,2,0),"")</f>
        <v>SAE 10W30 PLUS (COLHEDORA NOVA)</v>
      </c>
      <c r="G47" s="71" t="str">
        <f>VLOOKUP(C47,'BD MAT.'!$E:$G,3,0)</f>
        <v>PI</v>
      </c>
      <c r="H47" s="47">
        <v>220</v>
      </c>
      <c r="I47" s="73">
        <f>SUMIFS(REQUISIÇÕES!$H:$H,REQUISIÇÕES!$F:$F,Tabela1[[#This Row],[CÓDIGO PRODU]],REQUISIÇÕES!$E:$E,Tabela1[[#This Row],[DEPTO]])</f>
        <v>0</v>
      </c>
      <c r="J47" s="51">
        <f t="shared" si="3"/>
        <v>220</v>
      </c>
      <c r="K47" s="29">
        <f>SUMIFS('lançamento cubo CPP'!$C:$C,'lançamento cubo CPP'!$B:$B,Tabela1[[#This Row],[CÓDIGO PRODU]],'lançamento cubo CPP'!$A:$A,Tabela1[[#This Row],[COMBOIO]])</f>
        <v>0</v>
      </c>
      <c r="L47" s="29">
        <f t="shared" si="4"/>
        <v>220</v>
      </c>
      <c r="M47" s="39"/>
      <c r="N47" s="40"/>
      <c r="O47" s="41"/>
      <c r="P47" s="22">
        <f t="shared" si="5"/>
        <v>-220</v>
      </c>
      <c r="Q47" s="50">
        <f>SUMIFS(REQUISIÇÕES!$N:$N,REQUISIÇÕES!$K:$K,E47,REQUISIÇÕES!$G:$G,D47)</f>
        <v>0</v>
      </c>
    </row>
    <row r="48" spans="1:17" ht="15.75" x14ac:dyDescent="0.25">
      <c r="A48" s="44">
        <v>42591</v>
      </c>
      <c r="B48" s="45">
        <v>0.34722222222222227</v>
      </c>
      <c r="C48" s="21">
        <v>230</v>
      </c>
      <c r="D48" s="22">
        <f>VLOOKUP(C48,'BD MAT.'!$E:$F,2,0)</f>
        <v>528</v>
      </c>
      <c r="E48" s="1">
        <v>15699</v>
      </c>
      <c r="F48" s="1" t="str">
        <f>IFERROR(VLOOKUP(E48,'BD MAT.'!$A:$B,2,0),"")</f>
        <v>OLEO DE TRANSMISSAO SAE 50 9X8530 TO-4</v>
      </c>
      <c r="G48" s="22" t="str">
        <f>VLOOKUP(C48,'BD MAT.'!$E:$G,3,0)</f>
        <v>PI</v>
      </c>
      <c r="H48" s="47">
        <v>20</v>
      </c>
      <c r="I48" s="73">
        <f>SUMIFS(REQUISIÇÕES!$H:$H,REQUISIÇÕES!$F:$F,Tabela1[[#This Row],[CÓDIGO PRODU]],REQUISIÇÕES!$E:$E,Tabela1[[#This Row],[DEPTO]])</f>
        <v>0</v>
      </c>
      <c r="J48" s="51">
        <f t="shared" si="3"/>
        <v>20</v>
      </c>
      <c r="K48" s="22">
        <f>SUMIFS('lançamento cubo CPP'!$C:$C,'lançamento cubo CPP'!$B:$B,Tabela1[[#This Row],[CÓDIGO PRODU]],'lançamento cubo CPP'!$A:$A,Tabela1[[#This Row],[COMBOIO]])</f>
        <v>0</v>
      </c>
      <c r="L48" s="22">
        <f t="shared" si="4"/>
        <v>20</v>
      </c>
      <c r="M48" s="39"/>
      <c r="N48" s="40"/>
      <c r="O48" s="41"/>
      <c r="P48" s="22">
        <f t="shared" si="5"/>
        <v>-20</v>
      </c>
      <c r="Q48" s="50">
        <f>SUMIFS(REQUISIÇÕES!$N:$N,REQUISIÇÕES!$K:$K,E48,REQUISIÇÕES!$G:$G,D48)</f>
        <v>0</v>
      </c>
    </row>
    <row r="49" spans="1:17" ht="15.75" x14ac:dyDescent="0.25">
      <c r="A49" s="44">
        <v>42591</v>
      </c>
      <c r="B49" s="45">
        <v>0.34722222222222227</v>
      </c>
      <c r="C49" s="21">
        <v>230</v>
      </c>
      <c r="D49" s="22">
        <f>VLOOKUP(C49,'BD MAT.'!$E:$F,2,0)</f>
        <v>528</v>
      </c>
      <c r="E49" s="21">
        <v>169379</v>
      </c>
      <c r="F49" s="21" t="str">
        <f>IFERROR(VLOOKUP(E49,'BD MAT.'!$A:$B,2,0),"")</f>
        <v>OLEO SP90 IPIRGEROL</v>
      </c>
      <c r="G49" s="23" t="str">
        <f>VLOOKUP(C49,'BD MAT.'!$E:$G,3,0)</f>
        <v>PI</v>
      </c>
      <c r="H49" s="47">
        <v>20</v>
      </c>
      <c r="I49" s="73">
        <f>SUMIFS(REQUISIÇÕES!$H:$H,REQUISIÇÕES!$F:$F,Tabela1[[#This Row],[CÓDIGO PRODU]],REQUISIÇÕES!$E:$E,Tabela1[[#This Row],[DEPTO]])</f>
        <v>0</v>
      </c>
      <c r="J49" s="52">
        <f t="shared" si="3"/>
        <v>20</v>
      </c>
      <c r="K49" s="23">
        <f>SUMIFS('lançamento cubo CPP'!$C:$C,'lançamento cubo CPP'!$B:$B,Tabela1[[#This Row],[CÓDIGO PRODU]],'lançamento cubo CPP'!$A:$A,Tabela1[[#This Row],[COMBOIO]])</f>
        <v>0</v>
      </c>
      <c r="L49" s="23">
        <f t="shared" si="4"/>
        <v>20</v>
      </c>
      <c r="M49" s="39"/>
      <c r="N49" s="42"/>
      <c r="O49" s="41"/>
      <c r="P49" s="22">
        <f t="shared" si="5"/>
        <v>-20</v>
      </c>
      <c r="Q49" s="50">
        <f>SUMIFS(REQUISIÇÕES!$N:$N,REQUISIÇÕES!$K:$K,E49,REQUISIÇÕES!$G:$G,D49)</f>
        <v>0</v>
      </c>
    </row>
    <row r="50" spans="1:17" ht="15.75" x14ac:dyDescent="0.25">
      <c r="A50" s="44">
        <v>42591</v>
      </c>
      <c r="B50" s="45">
        <v>0.34722222222222227</v>
      </c>
      <c r="C50" s="21">
        <v>230</v>
      </c>
      <c r="D50" s="22">
        <f>VLOOKUP(C50,'BD MAT.'!$E:$F,2,0)</f>
        <v>528</v>
      </c>
      <c r="E50" s="1">
        <v>170878</v>
      </c>
      <c r="F50" s="1" t="str">
        <f>IFERROR(VLOOKUP(E50,'BD MAT.'!$A:$B,2,0),"")</f>
        <v>OLEO 15W-40 PLUS 50 JOHN DEERE</v>
      </c>
      <c r="G50" s="22" t="str">
        <f>VLOOKUP(C50,'BD MAT.'!$E:$G,3,0)</f>
        <v>PI</v>
      </c>
      <c r="H50" s="47">
        <v>170</v>
      </c>
      <c r="I50" s="73">
        <f>SUMIFS(REQUISIÇÕES!$H:$H,REQUISIÇÕES!$F:$F,Tabela1[[#This Row],[CÓDIGO PRODU]],REQUISIÇÕES!$E:$E,Tabela1[[#This Row],[DEPTO]])</f>
        <v>0</v>
      </c>
      <c r="J50" s="51">
        <f t="shared" si="3"/>
        <v>170</v>
      </c>
      <c r="K50" s="22">
        <f>SUMIFS('lançamento cubo CPP'!$C:$C,'lançamento cubo CPP'!$B:$B,Tabela1[[#This Row],[CÓDIGO PRODU]],'lançamento cubo CPP'!$A:$A,Tabela1[[#This Row],[COMBOIO]])</f>
        <v>0</v>
      </c>
      <c r="L50" s="22">
        <f t="shared" si="4"/>
        <v>170</v>
      </c>
      <c r="M50" s="39"/>
      <c r="N50" s="40"/>
      <c r="O50" s="41"/>
      <c r="P50" s="22">
        <f t="shared" si="5"/>
        <v>-170</v>
      </c>
      <c r="Q50" s="50">
        <f>SUMIFS(REQUISIÇÕES!$N:$N,REQUISIÇÕES!$K:$K,E50,REQUISIÇÕES!$G:$G,D50)</f>
        <v>0</v>
      </c>
    </row>
    <row r="51" spans="1:17" ht="15.75" x14ac:dyDescent="0.25">
      <c r="A51" s="44">
        <v>42559</v>
      </c>
      <c r="B51" s="45">
        <v>0.36805555555555558</v>
      </c>
      <c r="C51" s="21">
        <v>231</v>
      </c>
      <c r="D51" s="22">
        <f>VLOOKUP(C51,'BD MAT.'!$E:$F,2,0)</f>
        <v>529</v>
      </c>
      <c r="E51" s="1">
        <v>107124</v>
      </c>
      <c r="F51" s="1" t="str">
        <f>IFERROR(VLOOKUP(E51,'BD MAT.'!$A:$B,2,0),"")</f>
        <v>GRAXA LUBRIF COMPLEXO LITIO NLGI-2 170KG</v>
      </c>
      <c r="G51" s="22" t="str">
        <f>VLOOKUP(C51,'BD MAT.'!$E:$G,3,0)</f>
        <v>PI</v>
      </c>
      <c r="H51" s="47">
        <v>60</v>
      </c>
      <c r="I51" s="73">
        <f>SUMIFS(REQUISIÇÕES!$H:$H,REQUISIÇÕES!$F:$F,Tabela1[[#This Row],[CÓDIGO PRODU]],REQUISIÇÕES!$E:$E,Tabela1[[#This Row],[DEPTO]])</f>
        <v>0</v>
      </c>
      <c r="J51" s="51">
        <f t="shared" si="3"/>
        <v>60</v>
      </c>
      <c r="K51" s="22">
        <f>SUMIFS('lançamento cubo CPP'!$C:$C,'lançamento cubo CPP'!$B:$B,Tabela1[[#This Row],[CÓDIGO PRODU]],'lançamento cubo CPP'!$A:$A,Tabela1[[#This Row],[COMBOIO]])</f>
        <v>0</v>
      </c>
      <c r="L51" s="22">
        <f t="shared" si="4"/>
        <v>60</v>
      </c>
      <c r="M51" s="39"/>
      <c r="N51" s="40"/>
      <c r="O51" s="41"/>
      <c r="P51" s="22">
        <f t="shared" si="5"/>
        <v>-60</v>
      </c>
      <c r="Q51" s="50">
        <f>SUMIFS(REQUISIÇÕES!$N:$N,REQUISIÇÕES!$K:$K,E51,REQUISIÇÕES!$G:$G,D51)</f>
        <v>0</v>
      </c>
    </row>
    <row r="52" spans="1:17" ht="15.75" x14ac:dyDescent="0.25">
      <c r="A52" s="44">
        <v>42559</v>
      </c>
      <c r="B52" s="45">
        <v>0.36805555555555558</v>
      </c>
      <c r="C52" s="21">
        <v>231</v>
      </c>
      <c r="D52" s="22">
        <f>VLOOKUP(C52,'BD MAT.'!$E:$F,2,0)</f>
        <v>529</v>
      </c>
      <c r="E52" s="1">
        <v>15692</v>
      </c>
      <c r="F52" s="1" t="str">
        <f>IFERROR(VLOOKUP(E52,'BD MAT.'!$A:$B,2,0),"")</f>
        <v>OLEO LUBRIF SAE 15W40 API CJ-4S/M</v>
      </c>
      <c r="G52" s="22" t="str">
        <f>VLOOKUP(C52,'BD MAT.'!$E:$G,3,0)</f>
        <v>PI</v>
      </c>
      <c r="H52" s="47">
        <v>230</v>
      </c>
      <c r="I52" s="73">
        <f>SUMIFS(REQUISIÇÕES!$H:$H,REQUISIÇÕES!$F:$F,Tabela1[[#This Row],[CÓDIGO PRODU]],REQUISIÇÕES!$E:$E,Tabela1[[#This Row],[DEPTO]])</f>
        <v>1000</v>
      </c>
      <c r="J52" s="51">
        <f t="shared" si="3"/>
        <v>1230</v>
      </c>
      <c r="K52" s="22">
        <f>SUMIFS('lançamento cubo CPP'!$C:$C,'lançamento cubo CPP'!$B:$B,Tabela1[[#This Row],[CÓDIGO PRODU]],'lançamento cubo CPP'!$A:$A,Tabela1[[#This Row],[COMBOIO]])</f>
        <v>0</v>
      </c>
      <c r="L52" s="22">
        <f t="shared" si="4"/>
        <v>1230</v>
      </c>
      <c r="M52" s="39"/>
      <c r="N52" s="40"/>
      <c r="O52" s="41"/>
      <c r="P52" s="22">
        <f t="shared" si="5"/>
        <v>-1230</v>
      </c>
      <c r="Q52" s="50">
        <f>SUMIFS(REQUISIÇÕES!$N:$N,REQUISIÇÕES!$K:$K,E52,REQUISIÇÕES!$G:$G,D52)</f>
        <v>0</v>
      </c>
    </row>
    <row r="53" spans="1:17" ht="15.75" x14ac:dyDescent="0.25">
      <c r="A53" s="44">
        <v>42559</v>
      </c>
      <c r="B53" s="45">
        <v>0.36805555555555558</v>
      </c>
      <c r="C53" s="21">
        <v>231</v>
      </c>
      <c r="D53" s="22">
        <f>VLOOKUP(C53,'BD MAT.'!$E:$F,2,0)</f>
        <v>529</v>
      </c>
      <c r="E53" s="1">
        <v>2025</v>
      </c>
      <c r="F53" s="1" t="str">
        <f>IFERROR(VLOOKUP(E53,'BD MAT.'!$A:$B,2,0),"")</f>
        <v>OLEO LUBRIF ISO 68 DIN 51524 HLP TB 200L</v>
      </c>
      <c r="G53" s="22" t="str">
        <f>VLOOKUP(C53,'BD MAT.'!$E:$G,3,0)</f>
        <v>PI</v>
      </c>
      <c r="H53" s="47">
        <v>80</v>
      </c>
      <c r="I53" s="73">
        <f>SUMIFS(REQUISIÇÕES!$H:$H,REQUISIÇÕES!$F:$F,Tabela1[[#This Row],[CÓDIGO PRODU]],REQUISIÇÕES!$E:$E,Tabela1[[#This Row],[DEPTO]])</f>
        <v>0</v>
      </c>
      <c r="J53" s="51">
        <f t="shared" si="3"/>
        <v>80</v>
      </c>
      <c r="K53" s="22">
        <f>SUMIFS('lançamento cubo CPP'!$C:$C,'lançamento cubo CPP'!$B:$B,Tabela1[[#This Row],[CÓDIGO PRODU]],'lançamento cubo CPP'!$A:$A,Tabela1[[#This Row],[COMBOIO]])</f>
        <v>0</v>
      </c>
      <c r="L53" s="22">
        <f t="shared" si="4"/>
        <v>80</v>
      </c>
      <c r="M53" s="39"/>
      <c r="N53" s="40"/>
      <c r="O53" s="41"/>
      <c r="P53" s="22">
        <f t="shared" si="5"/>
        <v>-80</v>
      </c>
      <c r="Q53" s="50">
        <f>SUMIFS(REQUISIÇÕES!$N:$N,REQUISIÇÕES!$K:$K,E53,REQUISIÇÕES!$G:$G,D53)</f>
        <v>0</v>
      </c>
    </row>
    <row r="54" spans="1:17" ht="15.75" x14ac:dyDescent="0.25">
      <c r="A54" s="44">
        <v>42559</v>
      </c>
      <c r="B54" s="45">
        <v>0.36805555555555558</v>
      </c>
      <c r="C54" s="21">
        <v>231</v>
      </c>
      <c r="D54" s="22">
        <f>VLOOKUP(C54,'BD MAT.'!$E:$F,2,0)</f>
        <v>529</v>
      </c>
      <c r="E54" s="1">
        <v>50717</v>
      </c>
      <c r="F54" s="1" t="str">
        <f>IFERROR(VLOOKUP(E54,'BD MAT.'!$A:$B,2,0),"")</f>
        <v>OLEO LUBRIF SAE 85W140 API GL-5 TB 200L</v>
      </c>
      <c r="G54" s="22" t="str">
        <f>VLOOKUP(C54,'BD MAT.'!$E:$G,3,0)</f>
        <v>PI</v>
      </c>
      <c r="H54" s="47">
        <v>30</v>
      </c>
      <c r="I54" s="73">
        <f>SUMIFS(REQUISIÇÕES!$H:$H,REQUISIÇÕES!$F:$F,Tabela1[[#This Row],[CÓDIGO PRODU]],REQUISIÇÕES!$E:$E,Tabela1[[#This Row],[DEPTO]])</f>
        <v>200</v>
      </c>
      <c r="J54" s="51">
        <f t="shared" si="3"/>
        <v>230</v>
      </c>
      <c r="K54" s="22">
        <f>SUMIFS('lançamento cubo CPP'!$C:$C,'lançamento cubo CPP'!$B:$B,Tabela1[[#This Row],[CÓDIGO PRODU]],'lançamento cubo CPP'!$A:$A,Tabela1[[#This Row],[COMBOIO]])</f>
        <v>0</v>
      </c>
      <c r="L54" s="22">
        <f t="shared" si="4"/>
        <v>230</v>
      </c>
      <c r="M54" s="39"/>
      <c r="N54" s="40"/>
      <c r="O54" s="41"/>
      <c r="P54" s="22">
        <f t="shared" si="5"/>
        <v>-230</v>
      </c>
      <c r="Q54" s="50">
        <f>SUMIFS(REQUISIÇÕES!$N:$N,REQUISIÇÕES!$K:$K,E54,REQUISIÇÕES!$G:$G,D54)</f>
        <v>0</v>
      </c>
    </row>
    <row r="55" spans="1:17" ht="15.75" x14ac:dyDescent="0.25">
      <c r="A55" s="44">
        <v>42559</v>
      </c>
      <c r="B55" s="45">
        <v>0.36805555555555558</v>
      </c>
      <c r="C55" s="21">
        <v>231</v>
      </c>
      <c r="D55" s="22">
        <f>VLOOKUP(C55,'BD MAT.'!$E:$F,2,0)</f>
        <v>529</v>
      </c>
      <c r="E55" s="1">
        <v>54213</v>
      </c>
      <c r="F55" s="1" t="str">
        <f>IFERROR(VLOOKUP(E55,'BD MAT.'!$A:$B,2,0),"")</f>
        <v>OLEO LUBR SAE 10W30 MULT G NH410B</v>
      </c>
      <c r="G55" s="22" t="str">
        <f>VLOOKUP(C55,'BD MAT.'!$E:$G,3,0)</f>
        <v>PI</v>
      </c>
      <c r="H55" s="47">
        <v>200</v>
      </c>
      <c r="I55" s="73">
        <f>SUMIFS(REQUISIÇÕES!$H:$H,REQUISIÇÕES!$F:$F,Tabela1[[#This Row],[CÓDIGO PRODU]],REQUISIÇÕES!$E:$E,Tabela1[[#This Row],[DEPTO]])</f>
        <v>0</v>
      </c>
      <c r="J55" s="51">
        <f t="shared" si="3"/>
        <v>200</v>
      </c>
      <c r="K55" s="22">
        <f>SUMIFS('lançamento cubo CPP'!$C:$C,'lançamento cubo CPP'!$B:$B,Tabela1[[#This Row],[CÓDIGO PRODU]],'lançamento cubo CPP'!$A:$A,Tabela1[[#This Row],[COMBOIO]])</f>
        <v>0</v>
      </c>
      <c r="L55" s="22">
        <f t="shared" si="4"/>
        <v>200</v>
      </c>
      <c r="M55" s="39"/>
      <c r="N55" s="40"/>
      <c r="O55" s="41"/>
      <c r="P55" s="22">
        <f t="shared" si="5"/>
        <v>-200</v>
      </c>
      <c r="Q55" s="50">
        <f>SUMIFS(REQUISIÇÕES!$N:$N,REQUISIÇÕES!$K:$K,E55,REQUISIÇÕES!$G:$G,D55)</f>
        <v>0</v>
      </c>
    </row>
    <row r="56" spans="1:17" ht="15.75" x14ac:dyDescent="0.25">
      <c r="A56" s="44">
        <v>42559</v>
      </c>
      <c r="B56" s="45">
        <v>0.36805555555555558</v>
      </c>
      <c r="C56" s="21">
        <v>231</v>
      </c>
      <c r="D56" s="22">
        <f>VLOOKUP(C56,'BD MAT.'!$E:$F,2,0)</f>
        <v>529</v>
      </c>
      <c r="E56" s="1">
        <v>15702</v>
      </c>
      <c r="F56" s="1" t="str">
        <f>IFERROR(VLOOKUP(E56,'BD MAT.'!$A:$B,2,0),"")</f>
        <v xml:space="preserve">OLEO LUBRIF GRAU SAE 40 API CF 200L    </v>
      </c>
      <c r="G56" s="22" t="str">
        <f>VLOOKUP(C56,'BD MAT.'!$E:$G,3,0)</f>
        <v>PI</v>
      </c>
      <c r="H56" s="47">
        <v>17</v>
      </c>
      <c r="I56" s="73">
        <f>SUMIFS(REQUISIÇÕES!$H:$H,REQUISIÇÕES!$F:$F,Tabela1[[#This Row],[CÓDIGO PRODU]],REQUISIÇÕES!$E:$E,Tabela1[[#This Row],[DEPTO]])</f>
        <v>0</v>
      </c>
      <c r="J56" s="51">
        <f t="shared" si="3"/>
        <v>17</v>
      </c>
      <c r="K56" s="22">
        <f>SUMIFS('lançamento cubo CPP'!$C:$C,'lançamento cubo CPP'!$B:$B,Tabela1[[#This Row],[CÓDIGO PRODU]],'lançamento cubo CPP'!$A:$A,Tabela1[[#This Row],[COMBOIO]])</f>
        <v>0</v>
      </c>
      <c r="L56" s="22">
        <f t="shared" si="4"/>
        <v>17</v>
      </c>
      <c r="M56" s="39"/>
      <c r="N56" s="40"/>
      <c r="O56" s="41"/>
      <c r="P56" s="22">
        <f t="shared" si="5"/>
        <v>-17</v>
      </c>
      <c r="Q56" s="50">
        <f>SUMIFS(REQUISIÇÕES!$N:$N,REQUISIÇÕES!$K:$K,E56,REQUISIÇÕES!$G:$G,D56)</f>
        <v>0</v>
      </c>
    </row>
    <row r="57" spans="1:17" ht="15.75" x14ac:dyDescent="0.25">
      <c r="A57" s="44">
        <v>42559</v>
      </c>
      <c r="B57" s="45">
        <v>0.36805555555555558</v>
      </c>
      <c r="C57" s="21">
        <v>231</v>
      </c>
      <c r="D57" s="22">
        <f>VLOOKUP(C57,'BD MAT.'!$E:$F,2,0)</f>
        <v>529</v>
      </c>
      <c r="E57" s="1">
        <v>15699</v>
      </c>
      <c r="F57" s="1" t="str">
        <f>IFERROR(VLOOKUP(E57,'BD MAT.'!$A:$B,2,0),"")</f>
        <v>OLEO DE TRANSMISSAO SAE 50 9X8530 TO-4</v>
      </c>
      <c r="G57" s="22" t="str">
        <f>VLOOKUP(C57,'BD MAT.'!$E:$G,3,0)</f>
        <v>PI</v>
      </c>
      <c r="H57" s="47">
        <v>20</v>
      </c>
      <c r="I57" s="73">
        <f>SUMIFS(REQUISIÇÕES!$H:$H,REQUISIÇÕES!$F:$F,Tabela1[[#This Row],[CÓDIGO PRODU]],REQUISIÇÕES!$E:$E,Tabela1[[#This Row],[DEPTO]])</f>
        <v>0</v>
      </c>
      <c r="J57" s="51">
        <f t="shared" si="3"/>
        <v>20</v>
      </c>
      <c r="K57" s="22">
        <f>SUMIFS('lançamento cubo CPP'!$C:$C,'lançamento cubo CPP'!$B:$B,Tabela1[[#This Row],[CÓDIGO PRODU]],'lançamento cubo CPP'!$A:$A,Tabela1[[#This Row],[COMBOIO]])</f>
        <v>0</v>
      </c>
      <c r="L57" s="22">
        <f t="shared" si="4"/>
        <v>20</v>
      </c>
      <c r="M57" s="39"/>
      <c r="N57" s="40"/>
      <c r="O57" s="41"/>
      <c r="P57" s="22">
        <f t="shared" si="5"/>
        <v>-20</v>
      </c>
      <c r="Q57" s="50">
        <f>SUMIFS(REQUISIÇÕES!$N:$N,REQUISIÇÕES!$K:$K,E57,REQUISIÇÕES!$G:$G,D57)</f>
        <v>0</v>
      </c>
    </row>
    <row r="58" spans="1:17" ht="15.75" x14ac:dyDescent="0.25">
      <c r="A58" s="44">
        <v>42559</v>
      </c>
      <c r="B58" s="45">
        <v>0.36805555555555558</v>
      </c>
      <c r="C58" s="21">
        <v>231</v>
      </c>
      <c r="D58" s="22">
        <f>VLOOKUP(C58,'BD MAT.'!$E:$F,2,0)</f>
        <v>529</v>
      </c>
      <c r="E58" s="1">
        <v>86355</v>
      </c>
      <c r="F58" s="1" t="str">
        <f>IFERROR(VLOOKUP(E58,'BD MAT.'!$A:$B,2,0),"")</f>
        <v xml:space="preserve">OLEO LUBRIF HIDR TIPO ATF A TB 200L     </v>
      </c>
      <c r="G58" s="22" t="str">
        <f>VLOOKUP(C58,'BD MAT.'!$E:$G,3,0)</f>
        <v>PI</v>
      </c>
      <c r="H58" s="47">
        <v>18</v>
      </c>
      <c r="I58" s="73">
        <f>SUMIFS(REQUISIÇÕES!$H:$H,REQUISIÇÕES!$F:$F,Tabela1[[#This Row],[CÓDIGO PRODU]],REQUISIÇÕES!$E:$E,Tabela1[[#This Row],[DEPTO]])</f>
        <v>0</v>
      </c>
      <c r="J58" s="51">
        <f>H58+I58</f>
        <v>18</v>
      </c>
      <c r="K58" s="22">
        <f>SUMIFS('lançamento cubo CPP'!$C:$C,'lançamento cubo CPP'!$B:$B,Tabela1[[#This Row],[CÓDIGO PRODU]],'lançamento cubo CPP'!$A:$A,Tabela1[[#This Row],[COMBOIO]])</f>
        <v>0</v>
      </c>
      <c r="L58" s="22">
        <f>J58-K58</f>
        <v>18</v>
      </c>
      <c r="M58" s="39"/>
      <c r="N58" s="40"/>
      <c r="O58" s="41"/>
      <c r="P58" s="22">
        <f>O58-L58</f>
        <v>-18</v>
      </c>
      <c r="Q58" s="50">
        <f>SUMIFS(REQUISIÇÕES!$N:$N,REQUISIÇÕES!$K:$K,E58,REQUISIÇÕES!$G:$G,D58)</f>
        <v>0</v>
      </c>
    </row>
    <row r="59" spans="1:17" ht="15.75" x14ac:dyDescent="0.25">
      <c r="A59" s="44">
        <v>42559</v>
      </c>
      <c r="B59" s="45">
        <v>0.36805555555555558</v>
      </c>
      <c r="C59" s="21">
        <v>231</v>
      </c>
      <c r="D59" s="22">
        <f>VLOOKUP(C59,'BD MAT.'!$E:$F,2,0)</f>
        <v>529</v>
      </c>
      <c r="E59" s="1">
        <v>15696</v>
      </c>
      <c r="F59" s="1" t="str">
        <f>IFERROR(VLOOKUP(E59,'BD MAT.'!$A:$B,2,0),"")</f>
        <v>OLEO LUBRIF GRAU SAE 30 API GL-4 TB 200L</v>
      </c>
      <c r="G59" s="22" t="str">
        <f>VLOOKUP(C59,'BD MAT.'!$E:$G,3,0)</f>
        <v>PI</v>
      </c>
      <c r="H59" s="47">
        <v>42</v>
      </c>
      <c r="I59" s="73">
        <f>SUMIFS(REQUISIÇÕES!$H:$H,REQUISIÇÕES!$F:$F,Tabela1[[#This Row],[CÓDIGO PRODU]],REQUISIÇÕES!$E:$E,Tabela1[[#This Row],[DEPTO]])</f>
        <v>0</v>
      </c>
      <c r="J59" s="51">
        <f>H59+I59</f>
        <v>42</v>
      </c>
      <c r="K59" s="22">
        <f>SUMIFS('lançamento cubo CPP'!$C:$C,'lançamento cubo CPP'!$B:$B,Tabela1[[#This Row],[CÓDIGO PRODU]],'lançamento cubo CPP'!$A:$A,Tabela1[[#This Row],[COMBOIO]])</f>
        <v>0</v>
      </c>
      <c r="L59" s="22">
        <f>J59-K59</f>
        <v>42</v>
      </c>
      <c r="M59" s="39"/>
      <c r="N59" s="40"/>
      <c r="O59" s="41"/>
      <c r="P59" s="22">
        <f>O59-L59</f>
        <v>-42</v>
      </c>
      <c r="Q59" s="50">
        <f>SUMIFS(REQUISIÇÕES!$N:$N,REQUISIÇÕES!$K:$K,E59,REQUISIÇÕES!$G:$G,D59)</f>
        <v>0</v>
      </c>
    </row>
    <row r="60" spans="1:17" ht="15.75" x14ac:dyDescent="0.25">
      <c r="A60" s="44">
        <v>42559</v>
      </c>
      <c r="B60" s="45">
        <v>0.36805555555555558</v>
      </c>
      <c r="C60" s="21">
        <v>231</v>
      </c>
      <c r="D60" s="22">
        <f>VLOOKUP(C60,'BD MAT.'!$E:$F,2,0)</f>
        <v>529</v>
      </c>
      <c r="E60" s="1">
        <v>169379</v>
      </c>
      <c r="F60" s="1" t="str">
        <f>IFERROR(VLOOKUP(E60,'BD MAT.'!$A:$B,2,0),"")</f>
        <v>OLEO SP90 IPIRGEROL</v>
      </c>
      <c r="G60" s="22" t="str">
        <f>VLOOKUP(C60,'BD MAT.'!$E:$G,3,0)</f>
        <v>PI</v>
      </c>
      <c r="H60" s="47">
        <v>17</v>
      </c>
      <c r="I60" s="73">
        <f>SUMIFS(REQUISIÇÕES!$H:$H,REQUISIÇÕES!$F:$F,Tabela1[[#This Row],[CÓDIGO PRODU]],REQUISIÇÕES!$E:$E,Tabela1[[#This Row],[DEPTO]])</f>
        <v>0</v>
      </c>
      <c r="J60" s="51">
        <f>H60+I60</f>
        <v>17</v>
      </c>
      <c r="K60" s="22">
        <f>SUMIFS('lançamento cubo CPP'!$C:$C,'lançamento cubo CPP'!$B:$B,Tabela1[[#This Row],[CÓDIGO PRODU]],'lançamento cubo CPP'!$A:$A,Tabela1[[#This Row],[COMBOIO]])</f>
        <v>0</v>
      </c>
      <c r="L60" s="22">
        <f>J60-K60</f>
        <v>17</v>
      </c>
      <c r="M60" s="39"/>
      <c r="N60" s="40"/>
      <c r="O60" s="41"/>
      <c r="P60" s="22">
        <f>O60-L60</f>
        <v>-17</v>
      </c>
      <c r="Q60" s="50">
        <f>SUMIFS(REQUISIÇÕES!$N:$N,REQUISIÇÕES!$K:$K,E60,REQUISIÇÕES!$G:$G,D60)</f>
        <v>0</v>
      </c>
    </row>
    <row r="61" spans="1:17" ht="15.75" x14ac:dyDescent="0.25">
      <c r="A61" s="44">
        <v>42591</v>
      </c>
      <c r="B61" s="46">
        <v>0.4375</v>
      </c>
      <c r="C61" s="21">
        <v>129</v>
      </c>
      <c r="D61" s="22">
        <f>VLOOKUP(C61,'BD MAT.'!$E:$F,2,0)</f>
        <v>532</v>
      </c>
      <c r="E61" s="21">
        <v>107124</v>
      </c>
      <c r="F61" s="21" t="str">
        <f>IFERROR(VLOOKUP(E61,'BD MAT.'!$A:$B,2,0),"")</f>
        <v>GRAXA LUBRIF COMPLEXO LITIO NLGI-2 170KG</v>
      </c>
      <c r="G61" s="23" t="str">
        <f>VLOOKUP(C61,'BD MAT.'!$E:$G,3,0)</f>
        <v>PI</v>
      </c>
      <c r="H61" s="47">
        <v>80</v>
      </c>
      <c r="I61" s="73">
        <f>SUMIFS(REQUISIÇÕES!$H:$H,REQUISIÇÕES!$F:$F,Tabela1[[#This Row],[CÓDIGO PRODU]],REQUISIÇÕES!$E:$E,Tabela1[[#This Row],[DEPTO]])</f>
        <v>0</v>
      </c>
      <c r="J61" s="52">
        <f t="shared" si="3"/>
        <v>80</v>
      </c>
      <c r="K61" s="23">
        <f>SUMIFS('lançamento cubo CPP'!$C:$C,'lançamento cubo CPP'!$B:$B,Tabela1[[#This Row],[CÓDIGO PRODU]],'lançamento cubo CPP'!$A:$A,Tabela1[[#This Row],[COMBOIO]])</f>
        <v>0</v>
      </c>
      <c r="L61" s="23">
        <f t="shared" si="4"/>
        <v>80</v>
      </c>
      <c r="M61" s="39"/>
      <c r="N61" s="42"/>
      <c r="O61" s="41"/>
      <c r="P61" s="22">
        <f t="shared" si="5"/>
        <v>-80</v>
      </c>
      <c r="Q61" s="50">
        <f>SUMIFS(REQUISIÇÕES!$N:$N,REQUISIÇÕES!$K:$K,E61,REQUISIÇÕES!$G:$G,D61)</f>
        <v>0</v>
      </c>
    </row>
    <row r="62" spans="1:17" ht="15.75" x14ac:dyDescent="0.25">
      <c r="A62" s="44">
        <v>42591</v>
      </c>
      <c r="B62" s="46">
        <v>0.4375</v>
      </c>
      <c r="C62" s="21">
        <v>129</v>
      </c>
      <c r="D62" s="22">
        <f>VLOOKUP(C62,'BD MAT.'!$E:$F,2,0)</f>
        <v>532</v>
      </c>
      <c r="E62" s="1">
        <v>15692</v>
      </c>
      <c r="F62" s="1" t="str">
        <f>IFERROR(VLOOKUP(E62,'BD MAT.'!$A:$B,2,0),"")</f>
        <v>OLEO LUBRIF SAE 15W40 API CJ-4S/M</v>
      </c>
      <c r="G62" s="22" t="str">
        <f>VLOOKUP(C62,'BD MAT.'!$E:$G,3,0)</f>
        <v>PI</v>
      </c>
      <c r="H62" s="47">
        <v>70</v>
      </c>
      <c r="I62" s="73">
        <f>SUMIFS(REQUISIÇÕES!$H:$H,REQUISIÇÕES!$F:$F,Tabela1[[#This Row],[CÓDIGO PRODU]],REQUISIÇÕES!$E:$E,Tabela1[[#This Row],[DEPTO]])</f>
        <v>1000</v>
      </c>
      <c r="J62" s="51">
        <f t="shared" si="3"/>
        <v>1070</v>
      </c>
      <c r="K62" s="22">
        <f>SUMIFS('lançamento cubo CPP'!$C:$C,'lançamento cubo CPP'!$B:$B,Tabela1[[#This Row],[CÓDIGO PRODU]],'lançamento cubo CPP'!$A:$A,Tabela1[[#This Row],[COMBOIO]])</f>
        <v>0</v>
      </c>
      <c r="L62" s="22">
        <f t="shared" si="4"/>
        <v>1070</v>
      </c>
      <c r="M62" s="39"/>
      <c r="N62" s="40"/>
      <c r="O62" s="41"/>
      <c r="P62" s="22">
        <f t="shared" si="5"/>
        <v>-1070</v>
      </c>
      <c r="Q62" s="50">
        <f>SUMIFS(REQUISIÇÕES!$N:$N,REQUISIÇÕES!$K:$K,E62,REQUISIÇÕES!$G:$G,D62)</f>
        <v>0</v>
      </c>
    </row>
    <row r="63" spans="1:17" ht="15.75" x14ac:dyDescent="0.25">
      <c r="A63" s="44">
        <v>42591</v>
      </c>
      <c r="B63" s="46">
        <v>0.4375</v>
      </c>
      <c r="C63" s="21">
        <v>129</v>
      </c>
      <c r="D63" s="22">
        <f>VLOOKUP(C63,'BD MAT.'!$E:$F,2,0)</f>
        <v>532</v>
      </c>
      <c r="E63" s="1">
        <v>15699</v>
      </c>
      <c r="F63" s="1" t="str">
        <f>IFERROR(VLOOKUP(E63,'BD MAT.'!$A:$B,2,0),"")</f>
        <v>OLEO DE TRANSMISSAO SAE 50 9X8530 TO-4</v>
      </c>
      <c r="G63" s="22" t="str">
        <f>VLOOKUP(C63,'BD MAT.'!$E:$G,3,0)</f>
        <v>PI</v>
      </c>
      <c r="H63" s="47">
        <v>200</v>
      </c>
      <c r="I63" s="73">
        <f>SUMIFS(REQUISIÇÕES!$H:$H,REQUISIÇÕES!$F:$F,Tabela1[[#This Row],[CÓDIGO PRODU]],REQUISIÇÕES!$E:$E,Tabela1[[#This Row],[DEPTO]])</f>
        <v>0</v>
      </c>
      <c r="J63" s="51">
        <f t="shared" si="3"/>
        <v>200</v>
      </c>
      <c r="K63" s="22">
        <f>SUMIFS('lançamento cubo CPP'!$C:$C,'lançamento cubo CPP'!$B:$B,Tabela1[[#This Row],[CÓDIGO PRODU]],'lançamento cubo CPP'!$A:$A,Tabela1[[#This Row],[COMBOIO]])</f>
        <v>0</v>
      </c>
      <c r="L63" s="22">
        <f t="shared" si="4"/>
        <v>200</v>
      </c>
      <c r="M63" s="39"/>
      <c r="N63" s="40"/>
      <c r="O63" s="41"/>
      <c r="P63" s="22">
        <f t="shared" si="5"/>
        <v>-200</v>
      </c>
      <c r="Q63" s="50">
        <f>SUMIFS(REQUISIÇÕES!$N:$N,REQUISIÇÕES!$K:$K,E63,REQUISIÇÕES!$G:$G,D63)</f>
        <v>0</v>
      </c>
    </row>
    <row r="64" spans="1:17" ht="15.75" x14ac:dyDescent="0.25">
      <c r="A64" s="44">
        <v>42591</v>
      </c>
      <c r="B64" s="46">
        <v>0.4375</v>
      </c>
      <c r="C64" s="21">
        <v>129</v>
      </c>
      <c r="D64" s="22">
        <f>VLOOKUP(C64,'BD MAT.'!$E:$F,2,0)</f>
        <v>532</v>
      </c>
      <c r="E64" s="1">
        <v>2025</v>
      </c>
      <c r="F64" s="1" t="str">
        <f>IFERROR(VLOOKUP(E64,'BD MAT.'!$A:$B,2,0),"")</f>
        <v>OLEO LUBRIF ISO 68 DIN 51524 HLP TB 200L</v>
      </c>
      <c r="G64" s="22" t="str">
        <f>VLOOKUP(C64,'BD MAT.'!$E:$G,3,0)</f>
        <v>PI</v>
      </c>
      <c r="H64" s="47">
        <v>200</v>
      </c>
      <c r="I64" s="73">
        <f>SUMIFS(REQUISIÇÕES!$H:$H,REQUISIÇÕES!$F:$F,Tabela1[[#This Row],[CÓDIGO PRODU]],REQUISIÇÕES!$E:$E,Tabela1[[#This Row],[DEPTO]])</f>
        <v>0</v>
      </c>
      <c r="J64" s="51">
        <f t="shared" si="3"/>
        <v>200</v>
      </c>
      <c r="K64" s="22">
        <f>SUMIFS('lançamento cubo CPP'!$C:$C,'lançamento cubo CPP'!$B:$B,Tabela1[[#This Row],[CÓDIGO PRODU]],'lançamento cubo CPP'!$A:$A,Tabela1[[#This Row],[COMBOIO]])</f>
        <v>0</v>
      </c>
      <c r="L64" s="22">
        <f t="shared" si="4"/>
        <v>200</v>
      </c>
      <c r="M64" s="39"/>
      <c r="N64" s="40"/>
      <c r="O64" s="41"/>
      <c r="P64" s="22">
        <f t="shared" si="5"/>
        <v>-200</v>
      </c>
      <c r="Q64" s="50">
        <f>SUMIFS(REQUISIÇÕES!$N:$N,REQUISIÇÕES!$K:$K,E64,REQUISIÇÕES!$G:$G,D64)</f>
        <v>0</v>
      </c>
    </row>
    <row r="65" spans="1:17" ht="15.75" x14ac:dyDescent="0.25">
      <c r="A65" s="44">
        <v>42591</v>
      </c>
      <c r="B65" s="46">
        <v>0.4375</v>
      </c>
      <c r="C65" s="21">
        <v>129</v>
      </c>
      <c r="D65" s="22">
        <f>VLOOKUP(C65,'BD MAT.'!$E:$F,2,0)</f>
        <v>532</v>
      </c>
      <c r="E65" s="1">
        <v>50717</v>
      </c>
      <c r="F65" s="1" t="str">
        <f>IFERROR(VLOOKUP(E65,'BD MAT.'!$A:$B,2,0),"")</f>
        <v>OLEO LUBRIF SAE 85W140 API GL-5 TB 200L</v>
      </c>
      <c r="G65" s="22" t="str">
        <f>VLOOKUP(C65,'BD MAT.'!$E:$G,3,0)</f>
        <v>PI</v>
      </c>
      <c r="H65" s="47">
        <v>65</v>
      </c>
      <c r="I65" s="73">
        <f>SUMIFS(REQUISIÇÕES!$H:$H,REQUISIÇÕES!$F:$F,Tabela1[[#This Row],[CÓDIGO PRODU]],REQUISIÇÕES!$E:$E,Tabela1[[#This Row],[DEPTO]])</f>
        <v>200</v>
      </c>
      <c r="J65" s="51">
        <f t="shared" si="3"/>
        <v>265</v>
      </c>
      <c r="K65" s="22">
        <f>SUMIFS('lançamento cubo CPP'!$C:$C,'lançamento cubo CPP'!$B:$B,Tabela1[[#This Row],[CÓDIGO PRODU]],'lançamento cubo CPP'!$A:$A,Tabela1[[#This Row],[COMBOIO]])</f>
        <v>0</v>
      </c>
      <c r="L65" s="22">
        <f t="shared" si="4"/>
        <v>265</v>
      </c>
      <c r="M65" s="39"/>
      <c r="N65" s="40"/>
      <c r="O65" s="41"/>
      <c r="P65" s="22">
        <f t="shared" si="5"/>
        <v>-265</v>
      </c>
      <c r="Q65" s="50">
        <f>SUMIFS(REQUISIÇÕES!$N:$N,REQUISIÇÕES!$K:$K,E65,REQUISIÇÕES!$G:$G,D65)</f>
        <v>0</v>
      </c>
    </row>
    <row r="66" spans="1:17" ht="15.75" x14ac:dyDescent="0.25">
      <c r="A66" s="44">
        <v>42591</v>
      </c>
      <c r="B66" s="46">
        <v>0.4375</v>
      </c>
      <c r="C66" s="21">
        <v>129</v>
      </c>
      <c r="D66" s="22">
        <f>VLOOKUP(C66,'BD MAT.'!$E:$F,2,0)</f>
        <v>532</v>
      </c>
      <c r="E66" s="1">
        <v>54213</v>
      </c>
      <c r="F66" s="1" t="str">
        <f>IFERROR(VLOOKUP(E66,'BD MAT.'!$A:$B,2,0),"")</f>
        <v>OLEO LUBR SAE 10W30 MULT G NH410B</v>
      </c>
      <c r="G66" s="22" t="str">
        <f>VLOOKUP(C66,'BD MAT.'!$E:$G,3,0)</f>
        <v>PI</v>
      </c>
      <c r="H66" s="47">
        <v>120</v>
      </c>
      <c r="I66" s="73">
        <f>SUMIFS(REQUISIÇÕES!$H:$H,REQUISIÇÕES!$F:$F,Tabela1[[#This Row],[CÓDIGO PRODU]],REQUISIÇÕES!$E:$E,Tabela1[[#This Row],[DEPTO]])</f>
        <v>0</v>
      </c>
      <c r="J66" s="51">
        <f t="shared" si="3"/>
        <v>120</v>
      </c>
      <c r="K66" s="22">
        <f>SUMIFS('lançamento cubo CPP'!$C:$C,'lançamento cubo CPP'!$B:$B,Tabela1[[#This Row],[CÓDIGO PRODU]],'lançamento cubo CPP'!$A:$A,Tabela1[[#This Row],[COMBOIO]])</f>
        <v>0</v>
      </c>
      <c r="L66" s="22">
        <f t="shared" si="4"/>
        <v>120</v>
      </c>
      <c r="M66" s="39"/>
      <c r="N66" s="40"/>
      <c r="O66" s="41"/>
      <c r="P66" s="22">
        <f t="shared" si="5"/>
        <v>-120</v>
      </c>
      <c r="Q66" s="50">
        <f>SUMIFS(REQUISIÇÕES!$N:$N,REQUISIÇÕES!$K:$K,E66,REQUISIÇÕES!$G:$G,D66)</f>
        <v>0</v>
      </c>
    </row>
    <row r="67" spans="1:17" ht="15.75" x14ac:dyDescent="0.25">
      <c r="A67" s="44">
        <v>42591</v>
      </c>
      <c r="B67" s="46">
        <v>0.4375</v>
      </c>
      <c r="C67" s="21">
        <v>129</v>
      </c>
      <c r="D67" s="22">
        <f>VLOOKUP(C67,'BD MAT.'!$E:$F,2,0)</f>
        <v>532</v>
      </c>
      <c r="E67" s="1">
        <v>86355</v>
      </c>
      <c r="F67" s="1" t="str">
        <f>IFERROR(VLOOKUP(E67,'BD MAT.'!$A:$B,2,0),"")</f>
        <v xml:space="preserve">OLEO LUBRIF HIDR TIPO ATF A TB 200L     </v>
      </c>
      <c r="G67" s="22" t="str">
        <f>VLOOKUP(C67,'BD MAT.'!$E:$G,3,0)</f>
        <v>PI</v>
      </c>
      <c r="H67" s="47">
        <v>120</v>
      </c>
      <c r="I67" s="73">
        <f>SUMIFS(REQUISIÇÕES!$H:$H,REQUISIÇÕES!$F:$F,Tabela1[[#This Row],[CÓDIGO PRODU]],REQUISIÇÕES!$E:$E,Tabela1[[#This Row],[DEPTO]])</f>
        <v>0</v>
      </c>
      <c r="J67" s="51">
        <f t="shared" si="3"/>
        <v>120</v>
      </c>
      <c r="K67" s="22">
        <f>SUMIFS('lançamento cubo CPP'!$C:$C,'lançamento cubo CPP'!$B:$B,Tabela1[[#This Row],[CÓDIGO PRODU]],'lançamento cubo CPP'!$A:$A,Tabela1[[#This Row],[COMBOIO]])</f>
        <v>0</v>
      </c>
      <c r="L67" s="22">
        <f t="shared" si="4"/>
        <v>120</v>
      </c>
      <c r="M67" s="39"/>
      <c r="N67" s="40"/>
      <c r="O67" s="41"/>
      <c r="P67" s="22">
        <f t="shared" si="5"/>
        <v>-120</v>
      </c>
      <c r="Q67" s="50">
        <f>SUMIFS(REQUISIÇÕES!$N:$N,REQUISIÇÕES!$K:$K,E67,REQUISIÇÕES!$G:$G,D67)</f>
        <v>0</v>
      </c>
    </row>
    <row r="68" spans="1:17" ht="15.75" x14ac:dyDescent="0.25">
      <c r="A68" s="44">
        <v>42591</v>
      </c>
      <c r="B68" s="46">
        <v>0.4375</v>
      </c>
      <c r="C68" s="21">
        <v>129</v>
      </c>
      <c r="D68" s="22">
        <f>VLOOKUP(C68,'BD MAT.'!$E:$F,2,0)</f>
        <v>532</v>
      </c>
      <c r="E68" s="1">
        <v>169379</v>
      </c>
      <c r="F68" s="1" t="str">
        <f>IFERROR(VLOOKUP(E68,'BD MAT.'!$A:$B,2,0),"")</f>
        <v>OLEO SP90 IPIRGEROL</v>
      </c>
      <c r="G68" s="22" t="str">
        <f>VLOOKUP(C68,'BD MAT.'!$E:$G,3,0)</f>
        <v>PI</v>
      </c>
      <c r="H68" s="47">
        <v>130</v>
      </c>
      <c r="I68" s="73">
        <f>SUMIFS(REQUISIÇÕES!$H:$H,REQUISIÇÕES!$F:$F,Tabela1[[#This Row],[CÓDIGO PRODU]],REQUISIÇÕES!$E:$E,Tabela1[[#This Row],[DEPTO]])</f>
        <v>0</v>
      </c>
      <c r="J68" s="51">
        <f t="shared" si="3"/>
        <v>130</v>
      </c>
      <c r="K68" s="22">
        <f>SUMIFS('lançamento cubo CPP'!$C:$C,'lançamento cubo CPP'!$B:$B,Tabela1[[#This Row],[CÓDIGO PRODU]],'lançamento cubo CPP'!$A:$A,Tabela1[[#This Row],[COMBOIO]])</f>
        <v>0</v>
      </c>
      <c r="L68" s="22">
        <f t="shared" si="4"/>
        <v>130</v>
      </c>
      <c r="M68" s="39"/>
      <c r="N68" s="40"/>
      <c r="O68" s="41"/>
      <c r="P68" s="22">
        <f t="shared" si="5"/>
        <v>-130</v>
      </c>
      <c r="Q68" s="50">
        <f>SUMIFS(REQUISIÇÕES!$N:$N,REQUISIÇÕES!$K:$K,E68,REQUISIÇÕES!$G:$G,D68)</f>
        <v>0</v>
      </c>
    </row>
    <row r="69" spans="1:17" ht="15.75" x14ac:dyDescent="0.25">
      <c r="A69" s="44">
        <v>42591</v>
      </c>
      <c r="B69" s="46">
        <v>0.4375</v>
      </c>
      <c r="C69" s="21">
        <v>129</v>
      </c>
      <c r="D69" s="22">
        <f>VLOOKUP(C69,'BD MAT.'!$E:$F,2,0)</f>
        <v>532</v>
      </c>
      <c r="E69" s="1">
        <v>15702</v>
      </c>
      <c r="F69" s="1" t="str">
        <f>IFERROR(VLOOKUP(E69,'BD MAT.'!$A:$B,2,0),"")</f>
        <v xml:space="preserve">OLEO LUBRIF GRAU SAE 40 API CF 200L    </v>
      </c>
      <c r="G69" s="22" t="str">
        <f>VLOOKUP(C69,'BD MAT.'!$E:$G,3,0)</f>
        <v>PI</v>
      </c>
      <c r="H69" s="47">
        <v>65</v>
      </c>
      <c r="I69" s="73">
        <f>SUMIFS(REQUISIÇÕES!$H:$H,REQUISIÇÕES!$F:$F,Tabela1[[#This Row],[CÓDIGO PRODU]],REQUISIÇÕES!$E:$E,Tabela1[[#This Row],[DEPTO]])</f>
        <v>0</v>
      </c>
      <c r="J69" s="51">
        <f t="shared" si="3"/>
        <v>65</v>
      </c>
      <c r="K69" s="22">
        <f>SUMIFS('lançamento cubo CPP'!$C:$C,'lançamento cubo CPP'!$B:$B,Tabela1[[#This Row],[CÓDIGO PRODU]],'lançamento cubo CPP'!$A:$A,Tabela1[[#This Row],[COMBOIO]])</f>
        <v>0</v>
      </c>
      <c r="L69" s="22">
        <f t="shared" si="4"/>
        <v>65</v>
      </c>
      <c r="M69" s="39"/>
      <c r="N69" s="40"/>
      <c r="O69" s="41"/>
      <c r="P69" s="22">
        <f t="shared" si="5"/>
        <v>-65</v>
      </c>
      <c r="Q69" s="50">
        <f>SUMIFS(REQUISIÇÕES!$N:$N,REQUISIÇÕES!$K:$K,E69,REQUISIÇÕES!$G:$G,D69)</f>
        <v>0</v>
      </c>
    </row>
    <row r="70" spans="1:17" ht="15.75" x14ac:dyDescent="0.25">
      <c r="A70" s="44">
        <v>42591</v>
      </c>
      <c r="B70" s="46">
        <v>0.4375</v>
      </c>
      <c r="C70" s="21">
        <v>129</v>
      </c>
      <c r="D70" s="22">
        <f>VLOOKUP(C70,'BD MAT.'!$E:$F,2,0)</f>
        <v>532</v>
      </c>
      <c r="E70" s="1">
        <v>15696</v>
      </c>
      <c r="F70" s="1" t="str">
        <f>IFERROR(VLOOKUP(E70,'BD MAT.'!$A:$B,2,0),"")</f>
        <v>OLEO LUBRIF GRAU SAE 30 API GL-4 TB 200L</v>
      </c>
      <c r="G70" s="22" t="str">
        <f>VLOOKUP(C70,'BD MAT.'!$E:$G,3,0)</f>
        <v>PI</v>
      </c>
      <c r="H70" s="47">
        <v>60</v>
      </c>
      <c r="I70" s="73">
        <f>SUMIFS(REQUISIÇÕES!$H:$H,REQUISIÇÕES!$F:$F,Tabela1[[#This Row],[CÓDIGO PRODU]],REQUISIÇÕES!$E:$E,Tabela1[[#This Row],[DEPTO]])</f>
        <v>200</v>
      </c>
      <c r="J70" s="51">
        <f t="shared" ref="J70:J102" si="6">H70+I70</f>
        <v>260</v>
      </c>
      <c r="K70" s="22">
        <f>SUMIFS('lançamento cubo CPP'!$C:$C,'lançamento cubo CPP'!$B:$B,Tabela1[[#This Row],[CÓDIGO PRODU]],'lançamento cubo CPP'!$A:$A,Tabela1[[#This Row],[COMBOIO]])</f>
        <v>0</v>
      </c>
      <c r="L70" s="22">
        <f t="shared" ref="L70:L102" si="7">J70-K70</f>
        <v>260</v>
      </c>
      <c r="M70" s="39"/>
      <c r="N70" s="40"/>
      <c r="O70" s="41"/>
      <c r="P70" s="22">
        <f t="shared" ref="P70:P102" si="8">O70-L70</f>
        <v>-260</v>
      </c>
      <c r="Q70" s="50">
        <f>SUMIFS(REQUISIÇÕES!$N:$N,REQUISIÇÕES!$K:$K,E70,REQUISIÇÕES!$G:$G,D70)</f>
        <v>0</v>
      </c>
    </row>
    <row r="71" spans="1:17" ht="15.75" x14ac:dyDescent="0.25">
      <c r="A71" s="44">
        <v>42590</v>
      </c>
      <c r="B71" s="46">
        <v>0.38541666666666669</v>
      </c>
      <c r="C71" s="21">
        <v>128</v>
      </c>
      <c r="D71" s="22">
        <f>VLOOKUP(C71,'BD MAT.'!$E:$F,2,0)</f>
        <v>514</v>
      </c>
      <c r="E71" s="21">
        <v>54213</v>
      </c>
      <c r="F71" s="21" t="str">
        <f>IFERROR(VLOOKUP(E71,'BD MAT.'!$A:$B,2,0),"")</f>
        <v>OLEO LUBR SAE 10W30 MULT G NH410B</v>
      </c>
      <c r="G71" s="23" t="str">
        <f>VLOOKUP(C71,'BD MAT.'!$E:$G,3,0)</f>
        <v>PB</v>
      </c>
      <c r="H71" s="48">
        <v>522</v>
      </c>
      <c r="I71" s="73">
        <f>SUMIFS(REQUISIÇÕES!$H:$H,REQUISIÇÕES!$F:$F,Tabela1[[#This Row],[CÓDIGO PRODU]],REQUISIÇÕES!$E:$E,Tabela1[[#This Row],[DEPTO]])</f>
        <v>200</v>
      </c>
      <c r="J71" s="52">
        <f t="shared" si="6"/>
        <v>722</v>
      </c>
      <c r="K71" s="23">
        <f>SUMIFS('lançamento cubo CPP'!$C:$C,'lançamento cubo CPP'!$B:$B,Tabela1[[#This Row],[CÓDIGO PRODU]],'lançamento cubo CPP'!$A:$A,Tabela1[[#This Row],[COMBOIO]])</f>
        <v>0</v>
      </c>
      <c r="L71" s="23">
        <f t="shared" si="7"/>
        <v>722</v>
      </c>
      <c r="M71" s="39"/>
      <c r="N71" s="42"/>
      <c r="O71" s="43"/>
      <c r="P71" s="22">
        <f t="shared" si="8"/>
        <v>-722</v>
      </c>
      <c r="Q71" s="50">
        <f>SUMIFS(REQUISIÇÕES!$N:$N,REQUISIÇÕES!$K:$K,E71,REQUISIÇÕES!$G:$G,D71)</f>
        <v>0</v>
      </c>
    </row>
    <row r="72" spans="1:17" ht="15.75" x14ac:dyDescent="0.25">
      <c r="A72" s="44">
        <v>42591</v>
      </c>
      <c r="B72" s="46">
        <v>0.42708333333333298</v>
      </c>
      <c r="C72" s="21">
        <v>128</v>
      </c>
      <c r="D72" s="22">
        <f>VLOOKUP(C72,'BD MAT.'!$E:$F,2,0)</f>
        <v>514</v>
      </c>
      <c r="E72" s="1">
        <v>50717</v>
      </c>
      <c r="F72" s="1" t="str">
        <f>IFERROR(VLOOKUP(E72,'BD MAT.'!$A:$B,2,0),"")</f>
        <v>OLEO LUBRIF SAE 85W140 API GL-5 TB 200L</v>
      </c>
      <c r="G72" s="22" t="str">
        <f>VLOOKUP(C72,'BD MAT.'!$E:$G,3,0)</f>
        <v>PB</v>
      </c>
      <c r="H72" s="47">
        <v>301</v>
      </c>
      <c r="I72" s="73">
        <f>SUMIFS(REQUISIÇÕES!$H:$H,REQUISIÇÕES!$F:$F,Tabela1[[#This Row],[CÓDIGO PRODU]],REQUISIÇÕES!$E:$E,Tabela1[[#This Row],[DEPTO]])</f>
        <v>200</v>
      </c>
      <c r="J72" s="51">
        <f t="shared" si="6"/>
        <v>501</v>
      </c>
      <c r="K72" s="22">
        <f>SUMIFS('lançamento cubo CPP'!$C:$C,'lançamento cubo CPP'!$B:$B,Tabela1[[#This Row],[CÓDIGO PRODU]],'lançamento cubo CPP'!$A:$A,Tabela1[[#This Row],[COMBOIO]])</f>
        <v>0</v>
      </c>
      <c r="L72" s="22">
        <f t="shared" si="7"/>
        <v>501</v>
      </c>
      <c r="M72" s="39"/>
      <c r="N72" s="42"/>
      <c r="O72" s="41"/>
      <c r="P72" s="22">
        <f t="shared" si="8"/>
        <v>-501</v>
      </c>
      <c r="Q72" s="50">
        <f>SUMIFS(REQUISIÇÕES!$N:$N,REQUISIÇÕES!$K:$K,E72,REQUISIÇÕES!$G:$G,D72)</f>
        <v>0</v>
      </c>
    </row>
    <row r="73" spans="1:17" ht="15.75" x14ac:dyDescent="0.25">
      <c r="A73" s="44">
        <v>42592</v>
      </c>
      <c r="B73" s="46">
        <v>0.46875</v>
      </c>
      <c r="C73" s="21">
        <v>128</v>
      </c>
      <c r="D73" s="22">
        <f>VLOOKUP(C73,'BD MAT.'!$E:$F,2,0)</f>
        <v>514</v>
      </c>
      <c r="E73" s="1">
        <v>2025</v>
      </c>
      <c r="F73" s="1" t="str">
        <f>IFERROR(VLOOKUP(E73,'BD MAT.'!$A:$B,2,0),"")</f>
        <v>OLEO LUBRIF ISO 68 DIN 51524 HLP TB 200L</v>
      </c>
      <c r="G73" s="22" t="str">
        <f>VLOOKUP(C73,'BD MAT.'!$E:$G,3,0)</f>
        <v>PB</v>
      </c>
      <c r="H73" s="47">
        <v>262</v>
      </c>
      <c r="I73" s="73">
        <f>SUMIFS(REQUISIÇÕES!$H:$H,REQUISIÇÕES!$F:$F,Tabela1[[#This Row],[CÓDIGO PRODU]],REQUISIÇÕES!$E:$E,Tabela1[[#This Row],[DEPTO]])</f>
        <v>0</v>
      </c>
      <c r="J73" s="51">
        <f t="shared" si="6"/>
        <v>262</v>
      </c>
      <c r="K73" s="22">
        <f>SUMIFS('lançamento cubo CPP'!$C:$C,'lançamento cubo CPP'!$B:$B,Tabela1[[#This Row],[CÓDIGO PRODU]],'lançamento cubo CPP'!$A:$A,Tabela1[[#This Row],[COMBOIO]])</f>
        <v>0</v>
      </c>
      <c r="L73" s="22">
        <f t="shared" si="7"/>
        <v>262</v>
      </c>
      <c r="M73" s="39"/>
      <c r="N73" s="42"/>
      <c r="O73" s="41"/>
      <c r="P73" s="22">
        <f t="shared" si="8"/>
        <v>-262</v>
      </c>
      <c r="Q73" s="50">
        <f>SUMIFS(REQUISIÇÕES!$N:$N,REQUISIÇÕES!$K:$K,E73,REQUISIÇÕES!$G:$G,D73)</f>
        <v>0</v>
      </c>
    </row>
    <row r="74" spans="1:17" ht="15.75" x14ac:dyDescent="0.25">
      <c r="A74" s="44">
        <v>42593</v>
      </c>
      <c r="B74" s="46">
        <v>0.51041666666666696</v>
      </c>
      <c r="C74" s="21">
        <v>128</v>
      </c>
      <c r="D74" s="22">
        <f>VLOOKUP(C74,'BD MAT.'!$E:$F,2,0)</f>
        <v>514</v>
      </c>
      <c r="E74" s="1">
        <v>15699</v>
      </c>
      <c r="F74" s="1" t="str">
        <f>IFERROR(VLOOKUP(E74,'BD MAT.'!$A:$B,2,0),"")</f>
        <v>OLEO DE TRANSMISSAO SAE 50 9X8530 TO-4</v>
      </c>
      <c r="G74" s="22" t="str">
        <f>VLOOKUP(C74,'BD MAT.'!$E:$G,3,0)</f>
        <v>PB</v>
      </c>
      <c r="H74" s="47">
        <v>238</v>
      </c>
      <c r="I74" s="73">
        <f>SUMIFS(REQUISIÇÕES!$H:$H,REQUISIÇÕES!$F:$F,Tabela1[[#This Row],[CÓDIGO PRODU]],REQUISIÇÕES!$E:$E,Tabela1[[#This Row],[DEPTO]])</f>
        <v>200</v>
      </c>
      <c r="J74" s="51">
        <f t="shared" si="6"/>
        <v>438</v>
      </c>
      <c r="K74" s="22">
        <f>SUMIFS('lançamento cubo CPP'!$C:$C,'lançamento cubo CPP'!$B:$B,Tabela1[[#This Row],[CÓDIGO PRODU]],'lançamento cubo CPP'!$A:$A,Tabela1[[#This Row],[COMBOIO]])</f>
        <v>0</v>
      </c>
      <c r="L74" s="22">
        <f t="shared" si="7"/>
        <v>438</v>
      </c>
      <c r="M74" s="39"/>
      <c r="N74" s="42"/>
      <c r="O74" s="41"/>
      <c r="P74" s="22">
        <f t="shared" si="8"/>
        <v>-438</v>
      </c>
      <c r="Q74" s="50">
        <f>SUMIFS(REQUISIÇÕES!$N:$N,REQUISIÇÕES!$K:$K,E74,REQUISIÇÕES!$G:$G,D74)</f>
        <v>0</v>
      </c>
    </row>
    <row r="75" spans="1:17" ht="15.75" x14ac:dyDescent="0.25">
      <c r="A75" s="44">
        <v>42594</v>
      </c>
      <c r="B75" s="46">
        <v>0.55208333333333304</v>
      </c>
      <c r="C75" s="21">
        <v>128</v>
      </c>
      <c r="D75" s="22">
        <f>VLOOKUP(C75,'BD MAT.'!$E:$F,2,0)</f>
        <v>514</v>
      </c>
      <c r="E75" s="1">
        <v>107124</v>
      </c>
      <c r="F75" s="1" t="str">
        <f>IFERROR(VLOOKUP(E75,'BD MAT.'!$A:$B,2,0),"")</f>
        <v>GRAXA LUBRIF COMPLEXO LITIO NLGI-2 170KG</v>
      </c>
      <c r="G75" s="22" t="str">
        <f>VLOOKUP(C75,'BD MAT.'!$E:$G,3,0)</f>
        <v>PB</v>
      </c>
      <c r="H75" s="47">
        <v>50</v>
      </c>
      <c r="I75" s="73">
        <f>SUMIFS(REQUISIÇÕES!$H:$H,REQUISIÇÕES!$F:$F,Tabela1[[#This Row],[CÓDIGO PRODU]],REQUISIÇÕES!$E:$E,Tabela1[[#This Row],[DEPTO]])</f>
        <v>0</v>
      </c>
      <c r="J75" s="51">
        <f t="shared" si="6"/>
        <v>50</v>
      </c>
      <c r="K75" s="22">
        <f>SUMIFS('lançamento cubo CPP'!$C:$C,'lançamento cubo CPP'!$B:$B,Tabela1[[#This Row],[CÓDIGO PRODU]],'lançamento cubo CPP'!$A:$A,Tabela1[[#This Row],[COMBOIO]])</f>
        <v>0</v>
      </c>
      <c r="L75" s="22">
        <f t="shared" si="7"/>
        <v>50</v>
      </c>
      <c r="M75" s="39"/>
      <c r="N75" s="42"/>
      <c r="O75" s="41"/>
      <c r="P75" s="22">
        <f t="shared" si="8"/>
        <v>-50</v>
      </c>
      <c r="Q75" s="50">
        <f>SUMIFS(REQUISIÇÕES!$N:$N,REQUISIÇÕES!$K:$K,E75,REQUISIÇÕES!$G:$G,D75)</f>
        <v>0</v>
      </c>
    </row>
    <row r="76" spans="1:17" ht="15.75" x14ac:dyDescent="0.25">
      <c r="A76" s="44">
        <v>42595</v>
      </c>
      <c r="B76" s="46">
        <v>0.59375</v>
      </c>
      <c r="C76" s="21">
        <v>128</v>
      </c>
      <c r="D76" s="22">
        <f>VLOOKUP(C76,'BD MAT.'!$E:$F,2,0)</f>
        <v>514</v>
      </c>
      <c r="E76" s="1">
        <v>169379</v>
      </c>
      <c r="F76" s="1" t="str">
        <f>IFERROR(VLOOKUP(E76,'BD MAT.'!$A:$B,2,0),"")</f>
        <v>OLEO SP90 IPIRGEROL</v>
      </c>
      <c r="G76" s="22" t="str">
        <f>VLOOKUP(C76,'BD MAT.'!$E:$G,3,0)</f>
        <v>PB</v>
      </c>
      <c r="H76" s="47">
        <v>200</v>
      </c>
      <c r="I76" s="73">
        <f>SUMIFS(REQUISIÇÕES!$H:$H,REQUISIÇÕES!$F:$F,Tabela1[[#This Row],[CÓDIGO PRODU]],REQUISIÇÕES!$E:$E,Tabela1[[#This Row],[DEPTO]])</f>
        <v>200</v>
      </c>
      <c r="J76" s="51">
        <f t="shared" si="6"/>
        <v>400</v>
      </c>
      <c r="K76" s="22">
        <f>SUMIFS('lançamento cubo CPP'!$C:$C,'lançamento cubo CPP'!$B:$B,Tabela1[[#This Row],[CÓDIGO PRODU]],'lançamento cubo CPP'!$A:$A,Tabela1[[#This Row],[COMBOIO]])</f>
        <v>0</v>
      </c>
      <c r="L76" s="22">
        <f t="shared" si="7"/>
        <v>400</v>
      </c>
      <c r="M76" s="39"/>
      <c r="N76" s="42"/>
      <c r="O76" s="41"/>
      <c r="P76" s="22">
        <f t="shared" si="8"/>
        <v>-400</v>
      </c>
      <c r="Q76" s="50">
        <f>SUMIFS(REQUISIÇÕES!$N:$N,REQUISIÇÕES!$K:$K,E76,REQUISIÇÕES!$G:$G,D76)</f>
        <v>0</v>
      </c>
    </row>
    <row r="77" spans="1:17" ht="15.75" x14ac:dyDescent="0.25">
      <c r="A77" s="44">
        <v>42596</v>
      </c>
      <c r="B77" s="46">
        <v>0.63541666666666696</v>
      </c>
      <c r="C77" s="21">
        <v>128</v>
      </c>
      <c r="D77" s="22">
        <f>VLOOKUP(C77,'BD MAT.'!$E:$F,2,0)</f>
        <v>514</v>
      </c>
      <c r="E77" s="1">
        <v>15702</v>
      </c>
      <c r="F77" s="1" t="str">
        <f>IFERROR(VLOOKUP(E77,'BD MAT.'!$A:$B,2,0),"")</f>
        <v xml:space="preserve">OLEO LUBRIF GRAU SAE 40 API CF 200L    </v>
      </c>
      <c r="G77" s="22" t="str">
        <f>VLOOKUP(C77,'BD MAT.'!$E:$G,3,0)</f>
        <v>PB</v>
      </c>
      <c r="H77" s="47">
        <v>76</v>
      </c>
      <c r="I77" s="73">
        <f>SUMIFS(REQUISIÇÕES!$H:$H,REQUISIÇÕES!$F:$F,Tabela1[[#This Row],[CÓDIGO PRODU]],REQUISIÇÕES!$E:$E,Tabela1[[#This Row],[DEPTO]])</f>
        <v>200</v>
      </c>
      <c r="J77" s="51">
        <f t="shared" si="6"/>
        <v>276</v>
      </c>
      <c r="K77" s="22">
        <f>SUMIFS('lançamento cubo CPP'!$C:$C,'lançamento cubo CPP'!$B:$B,Tabela1[[#This Row],[CÓDIGO PRODU]],'lançamento cubo CPP'!$A:$A,Tabela1[[#This Row],[COMBOIO]])</f>
        <v>0</v>
      </c>
      <c r="L77" s="22">
        <f t="shared" si="7"/>
        <v>276</v>
      </c>
      <c r="M77" s="39"/>
      <c r="N77" s="42"/>
      <c r="O77" s="41"/>
      <c r="P77" s="22">
        <f t="shared" si="8"/>
        <v>-276</v>
      </c>
      <c r="Q77" s="50">
        <f>SUMIFS(REQUISIÇÕES!$N:$N,REQUISIÇÕES!$K:$K,E77,REQUISIÇÕES!$G:$G,D77)</f>
        <v>0</v>
      </c>
    </row>
    <row r="78" spans="1:17" ht="15.75" x14ac:dyDescent="0.25">
      <c r="A78" s="44">
        <v>42597</v>
      </c>
      <c r="B78" s="46">
        <v>0.67708333333333304</v>
      </c>
      <c r="C78" s="21">
        <v>128</v>
      </c>
      <c r="D78" s="22">
        <f>VLOOKUP(C78,'BD MAT.'!$E:$F,2,0)</f>
        <v>514</v>
      </c>
      <c r="E78" s="1">
        <v>86355</v>
      </c>
      <c r="F78" s="1" t="str">
        <f>IFERROR(VLOOKUP(E78,'BD MAT.'!$A:$B,2,0),"")</f>
        <v xml:space="preserve">OLEO LUBRIF HIDR TIPO ATF A TB 200L     </v>
      </c>
      <c r="G78" s="22" t="str">
        <f>VLOOKUP(C78,'BD MAT.'!$E:$G,3,0)</f>
        <v>PB</v>
      </c>
      <c r="H78" s="47">
        <v>152</v>
      </c>
      <c r="I78" s="73">
        <f>SUMIFS(REQUISIÇÕES!$H:$H,REQUISIÇÕES!$F:$F,Tabela1[[#This Row],[CÓDIGO PRODU]],REQUISIÇÕES!$E:$E,Tabela1[[#This Row],[DEPTO]])</f>
        <v>0</v>
      </c>
      <c r="J78" s="51">
        <f t="shared" si="6"/>
        <v>152</v>
      </c>
      <c r="K78" s="22">
        <f>SUMIFS('lançamento cubo CPP'!$C:$C,'lançamento cubo CPP'!$B:$B,Tabela1[[#This Row],[CÓDIGO PRODU]],'lançamento cubo CPP'!$A:$A,Tabela1[[#This Row],[COMBOIO]])</f>
        <v>0</v>
      </c>
      <c r="L78" s="22">
        <f t="shared" si="7"/>
        <v>152</v>
      </c>
      <c r="M78" s="39"/>
      <c r="N78" s="42"/>
      <c r="O78" s="41"/>
      <c r="P78" s="22">
        <f t="shared" si="8"/>
        <v>-152</v>
      </c>
      <c r="Q78" s="50">
        <f>SUMIFS(REQUISIÇÕES!$N:$N,REQUISIÇÕES!$K:$K,E78,REQUISIÇÕES!$G:$G,D78)</f>
        <v>0</v>
      </c>
    </row>
    <row r="79" spans="1:17" ht="15.75" x14ac:dyDescent="0.25">
      <c r="A79" s="44">
        <v>42598</v>
      </c>
      <c r="B79" s="46">
        <v>0.71875</v>
      </c>
      <c r="C79" s="21">
        <v>128</v>
      </c>
      <c r="D79" s="22">
        <f>VLOOKUP(C79,'BD MAT.'!$E:$F,2,0)</f>
        <v>514</v>
      </c>
      <c r="E79" s="1">
        <v>15692</v>
      </c>
      <c r="F79" s="1" t="str">
        <f>IFERROR(VLOOKUP(E79,'BD MAT.'!$A:$B,2,0),"")</f>
        <v>OLEO LUBRIF SAE 15W40 API CJ-4S/M</v>
      </c>
      <c r="G79" s="22" t="str">
        <f>VLOOKUP(C79,'BD MAT.'!$E:$G,3,0)</f>
        <v>PB</v>
      </c>
      <c r="H79" s="47">
        <v>190</v>
      </c>
      <c r="I79" s="73">
        <f>SUMIFS(REQUISIÇÕES!$H:$H,REQUISIÇÕES!$F:$F,Tabela1[[#This Row],[CÓDIGO PRODU]],REQUISIÇÕES!$E:$E,Tabela1[[#This Row],[DEPTO]])</f>
        <v>0</v>
      </c>
      <c r="J79" s="51">
        <f t="shared" si="6"/>
        <v>190</v>
      </c>
      <c r="K79" s="22">
        <f>SUMIFS('lançamento cubo CPP'!$C:$C,'lançamento cubo CPP'!$B:$B,Tabela1[[#This Row],[CÓDIGO PRODU]],'lançamento cubo CPP'!$A:$A,Tabela1[[#This Row],[COMBOIO]])</f>
        <v>0</v>
      </c>
      <c r="L79" s="22">
        <f t="shared" si="7"/>
        <v>190</v>
      </c>
      <c r="M79" s="39"/>
      <c r="N79" s="42"/>
      <c r="O79" s="41"/>
      <c r="P79" s="22">
        <f t="shared" si="8"/>
        <v>-190</v>
      </c>
      <c r="Q79" s="50">
        <f>SUMIFS(REQUISIÇÕES!$N:$N,REQUISIÇÕES!$K:$K,E79,REQUISIÇÕES!$G:$G,D79)</f>
        <v>0</v>
      </c>
    </row>
    <row r="80" spans="1:17" ht="15.75" x14ac:dyDescent="0.25">
      <c r="A80" s="44">
        <v>42592</v>
      </c>
      <c r="B80" s="45">
        <v>0.30555555555555552</v>
      </c>
      <c r="C80" s="1">
        <v>224</v>
      </c>
      <c r="D80" s="22">
        <f>VLOOKUP(C80,'BD MAT.'!$E:$F,2,0)</f>
        <v>515</v>
      </c>
      <c r="E80" s="1">
        <v>54213</v>
      </c>
      <c r="F80" s="1" t="str">
        <f>IFERROR(VLOOKUP(E80,'BD MAT.'!$A:$B,2,0),"")</f>
        <v>OLEO LUBR SAE 10W30 MULT G NH410B</v>
      </c>
      <c r="G80" s="22" t="str">
        <f>VLOOKUP(C80,'BD MAT.'!$E:$G,3,0)</f>
        <v>PB</v>
      </c>
      <c r="H80" s="47">
        <v>270</v>
      </c>
      <c r="I80" s="73">
        <f>SUMIFS(REQUISIÇÕES!$H:$H,REQUISIÇÕES!$F:$F,Tabela1[[#This Row],[CÓDIGO PRODU]],REQUISIÇÕES!$E:$E,Tabela1[[#This Row],[DEPTO]])</f>
        <v>0</v>
      </c>
      <c r="J80" s="51">
        <f t="shared" si="6"/>
        <v>270</v>
      </c>
      <c r="K80" s="22">
        <f>SUMIFS('lançamento cubo CPP'!$C:$C,'lançamento cubo CPP'!$B:$B,Tabela1[[#This Row],[CÓDIGO PRODU]],'lançamento cubo CPP'!$A:$A,Tabela1[[#This Row],[COMBOIO]])</f>
        <v>0</v>
      </c>
      <c r="L80" s="22">
        <f t="shared" si="7"/>
        <v>270</v>
      </c>
      <c r="M80" s="39"/>
      <c r="N80" s="40"/>
      <c r="O80" s="41"/>
      <c r="P80" s="22">
        <f t="shared" si="8"/>
        <v>-270</v>
      </c>
      <c r="Q80" s="50">
        <f>SUMIFS(REQUISIÇÕES!$N:$N,REQUISIÇÕES!$K:$K,E80,REQUISIÇÕES!$G:$G,D80)</f>
        <v>0</v>
      </c>
    </row>
    <row r="81" spans="1:17" ht="15.75" x14ac:dyDescent="0.25">
      <c r="A81" s="44">
        <v>42593</v>
      </c>
      <c r="B81" s="45">
        <v>0.34722222222222199</v>
      </c>
      <c r="C81" s="1">
        <v>224</v>
      </c>
      <c r="D81" s="22">
        <f>VLOOKUP(C81,'BD MAT.'!$E:$F,2,0)</f>
        <v>515</v>
      </c>
      <c r="E81" s="1">
        <v>15699</v>
      </c>
      <c r="F81" s="1" t="str">
        <f>IFERROR(VLOOKUP(E81,'BD MAT.'!$A:$B,2,0),"")</f>
        <v>OLEO DE TRANSMISSAO SAE 50 9X8530 TO-4</v>
      </c>
      <c r="G81" s="22" t="str">
        <f>VLOOKUP(C81,'BD MAT.'!$E:$G,3,0)</f>
        <v>PB</v>
      </c>
      <c r="H81" s="47">
        <v>0</v>
      </c>
      <c r="I81" s="73">
        <f>SUMIFS(REQUISIÇÕES!$H:$H,REQUISIÇÕES!$F:$F,Tabela1[[#This Row],[CÓDIGO PRODU]],REQUISIÇÕES!$E:$E,Tabela1[[#This Row],[DEPTO]])</f>
        <v>0</v>
      </c>
      <c r="J81" s="51">
        <f t="shared" si="6"/>
        <v>0</v>
      </c>
      <c r="K81" s="22">
        <f>SUMIFS('lançamento cubo CPP'!$C:$C,'lançamento cubo CPP'!$B:$B,Tabela1[[#This Row],[CÓDIGO PRODU]],'lançamento cubo CPP'!$A:$A,Tabela1[[#This Row],[COMBOIO]])</f>
        <v>0</v>
      </c>
      <c r="L81" s="22">
        <f t="shared" si="7"/>
        <v>0</v>
      </c>
      <c r="M81" s="39"/>
      <c r="N81" s="40"/>
      <c r="O81" s="41"/>
      <c r="P81" s="22">
        <f t="shared" si="8"/>
        <v>0</v>
      </c>
      <c r="Q81" s="50">
        <f>SUMIFS(REQUISIÇÕES!$N:$N,REQUISIÇÕES!$K:$K,E81,REQUISIÇÕES!$G:$G,D81)</f>
        <v>0</v>
      </c>
    </row>
    <row r="82" spans="1:17" ht="15.75" x14ac:dyDescent="0.25">
      <c r="A82" s="44">
        <v>42594</v>
      </c>
      <c r="B82" s="45">
        <v>0.38888888888888901</v>
      </c>
      <c r="C82" s="1">
        <v>224</v>
      </c>
      <c r="D82" s="22">
        <f>VLOOKUP(C82,'BD MAT.'!$E:$F,2,0)</f>
        <v>515</v>
      </c>
      <c r="E82" s="1">
        <v>2025</v>
      </c>
      <c r="F82" s="1" t="str">
        <f>IFERROR(VLOOKUP(E82,'BD MAT.'!$A:$B,2,0),"")</f>
        <v>OLEO LUBRIF ISO 68 DIN 51524 HLP TB 200L</v>
      </c>
      <c r="G82" s="22" t="str">
        <f>VLOOKUP(C82,'BD MAT.'!$E:$G,3,0)</f>
        <v>PB</v>
      </c>
      <c r="H82" s="47">
        <v>90</v>
      </c>
      <c r="I82" s="73">
        <f>SUMIFS(REQUISIÇÕES!$H:$H,REQUISIÇÕES!$F:$F,Tabela1[[#This Row],[CÓDIGO PRODU]],REQUISIÇÕES!$E:$E,Tabela1[[#This Row],[DEPTO]])</f>
        <v>0</v>
      </c>
      <c r="J82" s="51">
        <f t="shared" si="6"/>
        <v>90</v>
      </c>
      <c r="K82" s="22">
        <f>SUMIFS('lançamento cubo CPP'!$C:$C,'lançamento cubo CPP'!$B:$B,Tabela1[[#This Row],[CÓDIGO PRODU]],'lançamento cubo CPP'!$A:$A,Tabela1[[#This Row],[COMBOIO]])</f>
        <v>0</v>
      </c>
      <c r="L82" s="22">
        <f t="shared" si="7"/>
        <v>90</v>
      </c>
      <c r="M82" s="39"/>
      <c r="N82" s="40"/>
      <c r="O82" s="41"/>
      <c r="P82" s="22">
        <f t="shared" si="8"/>
        <v>-90</v>
      </c>
      <c r="Q82" s="50">
        <f>SUMIFS(REQUISIÇÕES!$N:$N,REQUISIÇÕES!$K:$K,E82,REQUISIÇÕES!$G:$G,D82)</f>
        <v>0</v>
      </c>
    </row>
    <row r="83" spans="1:17" ht="15.75" x14ac:dyDescent="0.25">
      <c r="A83" s="44">
        <v>42595</v>
      </c>
      <c r="B83" s="45">
        <v>0.43055555555555602</v>
      </c>
      <c r="C83" s="1">
        <v>224</v>
      </c>
      <c r="D83" s="22">
        <f>VLOOKUP(C83,'BD MAT.'!$E:$F,2,0)</f>
        <v>515</v>
      </c>
      <c r="E83" s="1">
        <v>50717</v>
      </c>
      <c r="F83" s="1" t="str">
        <f>IFERROR(VLOOKUP(E83,'BD MAT.'!$A:$B,2,0),"")</f>
        <v>OLEO LUBRIF SAE 85W140 API GL-5 TB 200L</v>
      </c>
      <c r="G83" s="22" t="str">
        <f>VLOOKUP(C83,'BD MAT.'!$E:$G,3,0)</f>
        <v>PB</v>
      </c>
      <c r="H83" s="47">
        <v>125</v>
      </c>
      <c r="I83" s="73">
        <f>SUMIFS(REQUISIÇÕES!$H:$H,REQUISIÇÕES!$F:$F,Tabela1[[#This Row],[CÓDIGO PRODU]],REQUISIÇÕES!$E:$E,Tabela1[[#This Row],[DEPTO]])</f>
        <v>0</v>
      </c>
      <c r="J83" s="51">
        <f t="shared" si="6"/>
        <v>125</v>
      </c>
      <c r="K83" s="22">
        <f>SUMIFS('lançamento cubo CPP'!$C:$C,'lançamento cubo CPP'!$B:$B,Tabela1[[#This Row],[CÓDIGO PRODU]],'lançamento cubo CPP'!$A:$A,Tabela1[[#This Row],[COMBOIO]])</f>
        <v>0</v>
      </c>
      <c r="L83" s="22">
        <f t="shared" si="7"/>
        <v>125</v>
      </c>
      <c r="M83" s="39"/>
      <c r="N83" s="40"/>
      <c r="O83" s="41"/>
      <c r="P83" s="22">
        <f t="shared" si="8"/>
        <v>-125</v>
      </c>
      <c r="Q83" s="50">
        <f>SUMIFS(REQUISIÇÕES!$N:$N,REQUISIÇÕES!$K:$K,E83,REQUISIÇÕES!$G:$G,D83)</f>
        <v>0</v>
      </c>
    </row>
    <row r="84" spans="1:17" ht="15.75" x14ac:dyDescent="0.25">
      <c r="A84" s="44">
        <v>42596</v>
      </c>
      <c r="B84" s="45">
        <v>0.47222222222222199</v>
      </c>
      <c r="C84" s="1">
        <v>224</v>
      </c>
      <c r="D84" s="22">
        <f>VLOOKUP(C84,'BD MAT.'!$E:$F,2,0)</f>
        <v>515</v>
      </c>
      <c r="E84" s="1">
        <v>15692</v>
      </c>
      <c r="F84" s="1" t="str">
        <f>IFERROR(VLOOKUP(E84,'BD MAT.'!$A:$B,2,0),"")</f>
        <v>OLEO LUBRIF SAE 15W40 API CJ-4S/M</v>
      </c>
      <c r="G84" s="22" t="str">
        <f>VLOOKUP(C84,'BD MAT.'!$E:$G,3,0)</f>
        <v>PB</v>
      </c>
      <c r="H84" s="47">
        <v>590</v>
      </c>
      <c r="I84" s="73">
        <f>SUMIFS(REQUISIÇÕES!$H:$H,REQUISIÇÕES!$F:$F,Tabela1[[#This Row],[CÓDIGO PRODU]],REQUISIÇÕES!$E:$E,Tabela1[[#This Row],[DEPTO]])</f>
        <v>0</v>
      </c>
      <c r="J84" s="51">
        <f t="shared" si="6"/>
        <v>590</v>
      </c>
      <c r="K84" s="22">
        <f>SUMIFS('lançamento cubo CPP'!$C:$C,'lançamento cubo CPP'!$B:$B,Tabela1[[#This Row],[CÓDIGO PRODU]],'lançamento cubo CPP'!$A:$A,Tabela1[[#This Row],[COMBOIO]])</f>
        <v>0</v>
      </c>
      <c r="L84" s="22">
        <f t="shared" si="7"/>
        <v>590</v>
      </c>
      <c r="M84" s="39"/>
      <c r="N84" s="40"/>
      <c r="O84" s="41"/>
      <c r="P84" s="22">
        <f t="shared" si="8"/>
        <v>-590</v>
      </c>
      <c r="Q84" s="50">
        <f>SUMIFS(REQUISIÇÕES!$N:$N,REQUISIÇÕES!$K:$K,E84,REQUISIÇÕES!$G:$G,D84)</f>
        <v>0</v>
      </c>
    </row>
    <row r="85" spans="1:17" ht="15.75" x14ac:dyDescent="0.25">
      <c r="A85" s="44">
        <v>42597</v>
      </c>
      <c r="B85" s="45">
        <v>0.51388888888888895</v>
      </c>
      <c r="C85" s="1">
        <v>224</v>
      </c>
      <c r="D85" s="22">
        <f>VLOOKUP(C85,'BD MAT.'!$E:$F,2,0)</f>
        <v>515</v>
      </c>
      <c r="E85" s="1">
        <v>107124</v>
      </c>
      <c r="F85" s="1" t="str">
        <f>IFERROR(VLOOKUP(E85,'BD MAT.'!$A:$B,2,0),"")</f>
        <v>GRAXA LUBRIF COMPLEXO LITIO NLGI-2 170KG</v>
      </c>
      <c r="G85" s="22" t="str">
        <f>VLOOKUP(C85,'BD MAT.'!$E:$G,3,0)</f>
        <v>PB</v>
      </c>
      <c r="H85" s="47">
        <v>170</v>
      </c>
      <c r="I85" s="73">
        <f>SUMIFS(REQUISIÇÕES!$H:$H,REQUISIÇÕES!$F:$F,Tabela1[[#This Row],[CÓDIGO PRODU]],REQUISIÇÕES!$E:$E,Tabela1[[#This Row],[DEPTO]])</f>
        <v>0</v>
      </c>
      <c r="J85" s="51">
        <f>H85+I85</f>
        <v>170</v>
      </c>
      <c r="K85" s="22">
        <f>SUMIFS('lançamento cubo CPP'!$C:$C,'lançamento cubo CPP'!$B:$B,Tabela1[[#This Row],[CÓDIGO PRODU]],'lançamento cubo CPP'!$A:$A,Tabela1[[#This Row],[COMBOIO]])</f>
        <v>0</v>
      </c>
      <c r="L85" s="22">
        <f>J85-K85</f>
        <v>170</v>
      </c>
      <c r="M85" s="39"/>
      <c r="N85" s="40"/>
      <c r="O85" s="41"/>
      <c r="P85" s="22">
        <f>O85-L85</f>
        <v>-170</v>
      </c>
      <c r="Q85" s="50">
        <f>SUMIFS(REQUISIÇÕES!$N:$N,REQUISIÇÕES!$K:$K,E85,REQUISIÇÕES!$G:$G,D85)</f>
        <v>0</v>
      </c>
    </row>
    <row r="86" spans="1:17" ht="15.75" x14ac:dyDescent="0.25">
      <c r="A86" s="44">
        <v>42592</v>
      </c>
      <c r="B86" s="46">
        <v>0.30555555555555552</v>
      </c>
      <c r="C86" s="21">
        <v>225</v>
      </c>
      <c r="D86" s="22">
        <f>VLOOKUP(C86,'BD MAT.'!$E:$F,2,0)</f>
        <v>516</v>
      </c>
      <c r="E86" s="21">
        <v>54213</v>
      </c>
      <c r="F86" s="21" t="str">
        <f>IFERROR(VLOOKUP(E86,'BD MAT.'!$A:$B,2,0),"")</f>
        <v>OLEO LUBR SAE 10W30 MULT G NH410B</v>
      </c>
      <c r="G86" s="23" t="str">
        <f>VLOOKUP(C86,'BD MAT.'!$E:$G,3,0)</f>
        <v>PB</v>
      </c>
      <c r="H86" s="48">
        <v>155</v>
      </c>
      <c r="I86" s="73">
        <f>SUMIFS(REQUISIÇÕES!$H:$H,REQUISIÇÕES!$F:$F,Tabela1[[#This Row],[CÓDIGO PRODU]],REQUISIÇÕES!$E:$E,Tabela1[[#This Row],[DEPTO]])</f>
        <v>200</v>
      </c>
      <c r="J86" s="52">
        <f t="shared" si="6"/>
        <v>355</v>
      </c>
      <c r="K86" s="23">
        <f>SUMIFS('lançamento cubo CPP'!$C:$C,'lançamento cubo CPP'!$B:$B,Tabela1[[#This Row],[CÓDIGO PRODU]],'lançamento cubo CPP'!$A:$A,Tabela1[[#This Row],[COMBOIO]])</f>
        <v>0</v>
      </c>
      <c r="L86" s="23">
        <f t="shared" si="7"/>
        <v>355</v>
      </c>
      <c r="M86" s="39"/>
      <c r="N86" s="42"/>
      <c r="O86" s="43"/>
      <c r="P86" s="22">
        <f t="shared" si="8"/>
        <v>-355</v>
      </c>
      <c r="Q86" s="50">
        <f>SUMIFS(REQUISIÇÕES!$N:$N,REQUISIÇÕES!$K:$K,E86,REQUISIÇÕES!$G:$G,D86)</f>
        <v>0</v>
      </c>
    </row>
    <row r="87" spans="1:17" ht="15.75" x14ac:dyDescent="0.25">
      <c r="A87" s="44">
        <v>42592</v>
      </c>
      <c r="B87" s="46">
        <v>0.30555555555555552</v>
      </c>
      <c r="C87" s="21">
        <v>225</v>
      </c>
      <c r="D87" s="22">
        <f>VLOOKUP(C87,'BD MAT.'!$E:$F,2,0)</f>
        <v>516</v>
      </c>
      <c r="E87" s="1">
        <v>15699</v>
      </c>
      <c r="F87" s="1" t="str">
        <f>IFERROR(VLOOKUP(E87,'BD MAT.'!$A:$B,2,0),"")</f>
        <v>OLEO DE TRANSMISSAO SAE 50 9X8530 TO-4</v>
      </c>
      <c r="G87" s="22" t="str">
        <f>VLOOKUP(C87,'BD MAT.'!$E:$G,3,0)</f>
        <v>PB</v>
      </c>
      <c r="H87" s="47">
        <v>0</v>
      </c>
      <c r="I87" s="73">
        <f>SUMIFS(REQUISIÇÕES!$H:$H,REQUISIÇÕES!$F:$F,Tabela1[[#This Row],[CÓDIGO PRODU]],REQUISIÇÕES!$E:$E,Tabela1[[#This Row],[DEPTO]])</f>
        <v>0</v>
      </c>
      <c r="J87" s="51">
        <f t="shared" si="6"/>
        <v>0</v>
      </c>
      <c r="K87" s="22">
        <f>SUMIFS('lançamento cubo CPP'!$C:$C,'lançamento cubo CPP'!$B:$B,Tabela1[[#This Row],[CÓDIGO PRODU]],'lançamento cubo CPP'!$A:$A,Tabela1[[#This Row],[COMBOIO]])</f>
        <v>0</v>
      </c>
      <c r="L87" s="22">
        <f t="shared" si="7"/>
        <v>0</v>
      </c>
      <c r="M87" s="39"/>
      <c r="N87" s="40"/>
      <c r="O87" s="41"/>
      <c r="P87" s="22">
        <f t="shared" si="8"/>
        <v>0</v>
      </c>
      <c r="Q87" s="50">
        <f>SUMIFS(REQUISIÇÕES!$N:$N,REQUISIÇÕES!$K:$K,E87,REQUISIÇÕES!$G:$G,D87)</f>
        <v>0</v>
      </c>
    </row>
    <row r="88" spans="1:17" ht="15.75" x14ac:dyDescent="0.25">
      <c r="A88" s="44">
        <v>42592</v>
      </c>
      <c r="B88" s="46">
        <v>0.30555555555555552</v>
      </c>
      <c r="C88" s="21">
        <v>225</v>
      </c>
      <c r="D88" s="22">
        <f>VLOOKUP(C88,'BD MAT.'!$E:$F,2,0)</f>
        <v>516</v>
      </c>
      <c r="E88" s="1">
        <v>2025</v>
      </c>
      <c r="F88" s="1" t="str">
        <f>IFERROR(VLOOKUP(E88,'BD MAT.'!$A:$B,2,0),"")</f>
        <v>OLEO LUBRIF ISO 68 DIN 51524 HLP TB 200L</v>
      </c>
      <c r="G88" s="22" t="str">
        <f>VLOOKUP(C88,'BD MAT.'!$E:$G,3,0)</f>
        <v>PB</v>
      </c>
      <c r="H88" s="47">
        <v>154</v>
      </c>
      <c r="I88" s="73">
        <f>SUMIFS(REQUISIÇÕES!$H:$H,REQUISIÇÕES!$F:$F,Tabela1[[#This Row],[CÓDIGO PRODU]],REQUISIÇÕES!$E:$E,Tabela1[[#This Row],[DEPTO]])</f>
        <v>0</v>
      </c>
      <c r="J88" s="51">
        <f t="shared" si="6"/>
        <v>154</v>
      </c>
      <c r="K88" s="22">
        <f>SUMIFS('lançamento cubo CPP'!$C:$C,'lançamento cubo CPP'!$B:$B,Tabela1[[#This Row],[CÓDIGO PRODU]],'lançamento cubo CPP'!$A:$A,Tabela1[[#This Row],[COMBOIO]])</f>
        <v>0</v>
      </c>
      <c r="L88" s="22">
        <f t="shared" si="7"/>
        <v>154</v>
      </c>
      <c r="M88" s="39"/>
      <c r="N88" s="40"/>
      <c r="O88" s="41"/>
      <c r="P88" s="22">
        <f t="shared" si="8"/>
        <v>-154</v>
      </c>
      <c r="Q88" s="50">
        <f>SUMIFS(REQUISIÇÕES!$N:$N,REQUISIÇÕES!$K:$K,E88,REQUISIÇÕES!$G:$G,D88)</f>
        <v>0</v>
      </c>
    </row>
    <row r="89" spans="1:17" ht="15.75" x14ac:dyDescent="0.25">
      <c r="A89" s="44">
        <v>42592</v>
      </c>
      <c r="B89" s="46">
        <v>0.30555555555555552</v>
      </c>
      <c r="C89" s="21">
        <v>225</v>
      </c>
      <c r="D89" s="22">
        <f>VLOOKUP(C89,'BD MAT.'!$E:$F,2,0)</f>
        <v>516</v>
      </c>
      <c r="E89" s="1">
        <v>50717</v>
      </c>
      <c r="F89" s="1" t="str">
        <f>IFERROR(VLOOKUP(E89,'BD MAT.'!$A:$B,2,0),"")</f>
        <v>OLEO LUBRIF SAE 85W140 API GL-5 TB 200L</v>
      </c>
      <c r="G89" s="22" t="str">
        <f>VLOOKUP(C89,'BD MAT.'!$E:$G,3,0)</f>
        <v>PB</v>
      </c>
      <c r="H89" s="47">
        <v>156</v>
      </c>
      <c r="I89" s="73">
        <f>SUMIFS(REQUISIÇÕES!$H:$H,REQUISIÇÕES!$F:$F,Tabela1[[#This Row],[CÓDIGO PRODU]],REQUISIÇÕES!$E:$E,Tabela1[[#This Row],[DEPTO]])</f>
        <v>0</v>
      </c>
      <c r="J89" s="51">
        <f t="shared" si="6"/>
        <v>156</v>
      </c>
      <c r="K89" s="22">
        <f>SUMIFS('lançamento cubo CPP'!$C:$C,'lançamento cubo CPP'!$B:$B,Tabela1[[#This Row],[CÓDIGO PRODU]],'lançamento cubo CPP'!$A:$A,Tabela1[[#This Row],[COMBOIO]])</f>
        <v>0</v>
      </c>
      <c r="L89" s="22">
        <f t="shared" si="7"/>
        <v>156</v>
      </c>
      <c r="M89" s="39"/>
      <c r="N89" s="40"/>
      <c r="O89" s="41"/>
      <c r="P89" s="22">
        <f t="shared" si="8"/>
        <v>-156</v>
      </c>
      <c r="Q89" s="50">
        <f>SUMIFS(REQUISIÇÕES!$N:$N,REQUISIÇÕES!$K:$K,E89,REQUISIÇÕES!$G:$G,D89)</f>
        <v>0</v>
      </c>
    </row>
    <row r="90" spans="1:17" ht="15.75" x14ac:dyDescent="0.25">
      <c r="A90" s="44">
        <v>42592</v>
      </c>
      <c r="B90" s="46">
        <v>0.30555555555555552</v>
      </c>
      <c r="C90" s="21">
        <v>225</v>
      </c>
      <c r="D90" s="22">
        <f>VLOOKUP(C90,'BD MAT.'!$E:$F,2,0)</f>
        <v>516</v>
      </c>
      <c r="E90" s="1">
        <v>15692</v>
      </c>
      <c r="F90" s="1" t="str">
        <f>IFERROR(VLOOKUP(E90,'BD MAT.'!$A:$B,2,0),"")</f>
        <v>OLEO LUBRIF SAE 15W40 API CJ-4S/M</v>
      </c>
      <c r="G90" s="22" t="str">
        <f>VLOOKUP(C90,'BD MAT.'!$E:$G,3,0)</f>
        <v>PB</v>
      </c>
      <c r="H90" s="47">
        <v>400</v>
      </c>
      <c r="I90" s="73">
        <f>SUMIFS(REQUISIÇÕES!$H:$H,REQUISIÇÕES!$F:$F,Tabela1[[#This Row],[CÓDIGO PRODU]],REQUISIÇÕES!$E:$E,Tabela1[[#This Row],[DEPTO]])</f>
        <v>0</v>
      </c>
      <c r="J90" s="51">
        <f t="shared" si="6"/>
        <v>400</v>
      </c>
      <c r="K90" s="22">
        <f>SUMIFS('lançamento cubo CPP'!$C:$C,'lançamento cubo CPP'!$B:$B,Tabela1[[#This Row],[CÓDIGO PRODU]],'lançamento cubo CPP'!$A:$A,Tabela1[[#This Row],[COMBOIO]])</f>
        <v>0</v>
      </c>
      <c r="L90" s="22">
        <f t="shared" si="7"/>
        <v>400</v>
      </c>
      <c r="M90" s="39"/>
      <c r="N90" s="40"/>
      <c r="O90" s="41"/>
      <c r="P90" s="22">
        <f t="shared" si="8"/>
        <v>-400</v>
      </c>
      <c r="Q90" s="50">
        <f>SUMIFS(REQUISIÇÕES!$N:$N,REQUISIÇÕES!$K:$K,E90,REQUISIÇÕES!$G:$G,D90)</f>
        <v>0</v>
      </c>
    </row>
    <row r="91" spans="1:17" ht="15.75" x14ac:dyDescent="0.25">
      <c r="A91" s="44">
        <v>42592</v>
      </c>
      <c r="B91" s="46">
        <v>0.30555555555555552</v>
      </c>
      <c r="C91" s="21">
        <v>225</v>
      </c>
      <c r="D91" s="22">
        <f>VLOOKUP(C91,'BD MAT.'!$E:$F,2,0)</f>
        <v>516</v>
      </c>
      <c r="E91" s="1">
        <v>107124</v>
      </c>
      <c r="F91" s="1" t="str">
        <f>IFERROR(VLOOKUP(E91,'BD MAT.'!$A:$B,2,0),"")</f>
        <v>GRAXA LUBRIF COMPLEXO LITIO NLGI-2 170KG</v>
      </c>
      <c r="G91" s="22" t="str">
        <f>VLOOKUP(C91,'BD MAT.'!$E:$G,3,0)</f>
        <v>PB</v>
      </c>
      <c r="H91" s="47">
        <v>118</v>
      </c>
      <c r="I91" s="73">
        <f>SUMIFS(REQUISIÇÕES!$H:$H,REQUISIÇÕES!$F:$F,Tabela1[[#This Row],[CÓDIGO PRODU]],REQUISIÇÕES!$E:$E,Tabela1[[#This Row],[DEPTO]])</f>
        <v>0</v>
      </c>
      <c r="J91" s="51">
        <f t="shared" si="6"/>
        <v>118</v>
      </c>
      <c r="K91" s="22">
        <f>SUMIFS('lançamento cubo CPP'!$C:$C,'lançamento cubo CPP'!$B:$B,Tabela1[[#This Row],[CÓDIGO PRODU]],'lançamento cubo CPP'!$A:$A,Tabela1[[#This Row],[COMBOIO]])</f>
        <v>0</v>
      </c>
      <c r="L91" s="22">
        <f t="shared" si="7"/>
        <v>118</v>
      </c>
      <c r="M91" s="39"/>
      <c r="N91" s="40"/>
      <c r="O91" s="41"/>
      <c r="P91" s="22">
        <f t="shared" si="8"/>
        <v>-118</v>
      </c>
      <c r="Q91" s="50">
        <f>SUMIFS(REQUISIÇÕES!$N:$N,REQUISIÇÕES!$K:$K,E91,REQUISIÇÕES!$G:$G,D91)</f>
        <v>0</v>
      </c>
    </row>
    <row r="92" spans="1:17" ht="15.75" x14ac:dyDescent="0.25">
      <c r="A92" s="44">
        <v>42590</v>
      </c>
      <c r="B92" s="46">
        <v>0.34722222222222227</v>
      </c>
      <c r="C92" s="21">
        <v>226</v>
      </c>
      <c r="D92" s="22">
        <f>VLOOKUP(C92,'BD MAT.'!$E:$F,2,0)</f>
        <v>517</v>
      </c>
      <c r="E92" s="21">
        <v>107124</v>
      </c>
      <c r="F92" s="21" t="str">
        <f>IFERROR(VLOOKUP(E92,'BD MAT.'!$A:$B,2,0),"")</f>
        <v>GRAXA LUBRIF COMPLEXO LITIO NLGI-2 170KG</v>
      </c>
      <c r="G92" s="23" t="str">
        <f>VLOOKUP(C92,'BD MAT.'!$E:$G,3,0)</f>
        <v>PB</v>
      </c>
      <c r="H92" s="48">
        <v>130</v>
      </c>
      <c r="I92" s="73">
        <f>SUMIFS(REQUISIÇÕES!$H:$H,REQUISIÇÕES!$F:$F,Tabela1[[#This Row],[CÓDIGO PRODU]],REQUISIÇÕES!$E:$E,Tabela1[[#This Row],[DEPTO]])</f>
        <v>0</v>
      </c>
      <c r="J92" s="52">
        <f t="shared" si="6"/>
        <v>130</v>
      </c>
      <c r="K92" s="23">
        <f>SUMIFS('lançamento cubo CPP'!$C:$C,'lançamento cubo CPP'!$B:$B,Tabela1[[#This Row],[CÓDIGO PRODU]],'lançamento cubo CPP'!$A:$A,Tabela1[[#This Row],[COMBOIO]])</f>
        <v>0</v>
      </c>
      <c r="L92" s="23">
        <f t="shared" si="7"/>
        <v>130</v>
      </c>
      <c r="M92" s="39"/>
      <c r="N92" s="42"/>
      <c r="O92" s="43"/>
      <c r="P92" s="22">
        <f t="shared" si="8"/>
        <v>-130</v>
      </c>
      <c r="Q92" s="50">
        <f>SUMIFS(REQUISIÇÕES!$N:$N,REQUISIÇÕES!$K:$K,E92,REQUISIÇÕES!$G:$G,D92)</f>
        <v>0</v>
      </c>
    </row>
    <row r="93" spans="1:17" ht="15.75" x14ac:dyDescent="0.25">
      <c r="A93" s="44">
        <v>42590</v>
      </c>
      <c r="B93" s="46">
        <v>0.34722222222222227</v>
      </c>
      <c r="C93" s="21">
        <v>226</v>
      </c>
      <c r="D93" s="22">
        <f>VLOOKUP(C93,'BD MAT.'!$E:$F,2,0)</f>
        <v>517</v>
      </c>
      <c r="E93" s="1">
        <v>15692</v>
      </c>
      <c r="F93" s="1" t="str">
        <f>IFERROR(VLOOKUP(E93,'BD MAT.'!$A:$B,2,0),"")</f>
        <v>OLEO LUBRIF SAE 15W40 API CJ-4S/M</v>
      </c>
      <c r="G93" s="22" t="str">
        <f>VLOOKUP(C93,'BD MAT.'!$E:$G,3,0)</f>
        <v>PB</v>
      </c>
      <c r="H93" s="47">
        <v>185</v>
      </c>
      <c r="I93" s="73">
        <f>SUMIFS(REQUISIÇÕES!$H:$H,REQUISIÇÕES!$F:$F,Tabela1[[#This Row],[CÓDIGO PRODU]],REQUISIÇÕES!$E:$E,Tabela1[[#This Row],[DEPTO]])</f>
        <v>0</v>
      </c>
      <c r="J93" s="51">
        <f t="shared" si="6"/>
        <v>185</v>
      </c>
      <c r="K93" s="22">
        <f>SUMIFS('lançamento cubo CPP'!$C:$C,'lançamento cubo CPP'!$B:$B,Tabela1[[#This Row],[CÓDIGO PRODU]],'lançamento cubo CPP'!$A:$A,Tabela1[[#This Row],[COMBOIO]])</f>
        <v>0</v>
      </c>
      <c r="L93" s="22">
        <f t="shared" si="7"/>
        <v>185</v>
      </c>
      <c r="M93" s="39"/>
      <c r="N93" s="40"/>
      <c r="O93" s="41"/>
      <c r="P93" s="22">
        <f t="shared" si="8"/>
        <v>-185</v>
      </c>
      <c r="Q93" s="50">
        <f>SUMIFS(REQUISIÇÕES!$N:$N,REQUISIÇÕES!$K:$K,E93,REQUISIÇÕES!$G:$G,D93)</f>
        <v>0</v>
      </c>
    </row>
    <row r="94" spans="1:17" ht="15.75" x14ac:dyDescent="0.25">
      <c r="A94" s="44">
        <v>42590</v>
      </c>
      <c r="B94" s="46">
        <v>0.34722222222222227</v>
      </c>
      <c r="C94" s="21">
        <v>226</v>
      </c>
      <c r="D94" s="22">
        <f>VLOOKUP(C94,'BD MAT.'!$E:$F,2,0)</f>
        <v>517</v>
      </c>
      <c r="E94" s="1">
        <v>54213</v>
      </c>
      <c r="F94" s="1" t="str">
        <f>IFERROR(VLOOKUP(E94,'BD MAT.'!$A:$B,2,0),"")</f>
        <v>OLEO LUBR SAE 10W30 MULT G NH410B</v>
      </c>
      <c r="G94" s="22" t="str">
        <f>VLOOKUP(C94,'BD MAT.'!$E:$G,3,0)</f>
        <v>PB</v>
      </c>
      <c r="H94" s="47">
        <v>74</v>
      </c>
      <c r="I94" s="73">
        <f>SUMIFS(REQUISIÇÕES!$H:$H,REQUISIÇÕES!$F:$F,Tabela1[[#This Row],[CÓDIGO PRODU]],REQUISIÇÕES!$E:$E,Tabela1[[#This Row],[DEPTO]])</f>
        <v>200</v>
      </c>
      <c r="J94" s="51">
        <f t="shared" si="6"/>
        <v>274</v>
      </c>
      <c r="K94" s="22">
        <f>SUMIFS('lançamento cubo CPP'!$C:$C,'lançamento cubo CPP'!$B:$B,Tabela1[[#This Row],[CÓDIGO PRODU]],'lançamento cubo CPP'!$A:$A,Tabela1[[#This Row],[COMBOIO]])</f>
        <v>0</v>
      </c>
      <c r="L94" s="22">
        <f t="shared" si="7"/>
        <v>274</v>
      </c>
      <c r="M94" s="39"/>
      <c r="N94" s="40"/>
      <c r="O94" s="41"/>
      <c r="P94" s="22">
        <f t="shared" si="8"/>
        <v>-274</v>
      </c>
      <c r="Q94" s="50">
        <f>SUMIFS(REQUISIÇÕES!$N:$N,REQUISIÇÕES!$K:$K,E94,REQUISIÇÕES!$G:$G,D94)</f>
        <v>0</v>
      </c>
    </row>
    <row r="95" spans="1:17" ht="15.75" x14ac:dyDescent="0.25">
      <c r="A95" s="44">
        <v>42590</v>
      </c>
      <c r="B95" s="46">
        <v>0.34722222222222227</v>
      </c>
      <c r="C95" s="21">
        <v>226</v>
      </c>
      <c r="D95" s="22">
        <f>VLOOKUP(C95,'BD MAT.'!$E:$F,2,0)</f>
        <v>517</v>
      </c>
      <c r="E95" s="1">
        <v>2025</v>
      </c>
      <c r="F95" s="1" t="str">
        <f>IFERROR(VLOOKUP(E95,'BD MAT.'!$A:$B,2,0),"")</f>
        <v>OLEO LUBRIF ISO 68 DIN 51524 HLP TB 200L</v>
      </c>
      <c r="G95" s="22" t="str">
        <f>VLOOKUP(C95,'BD MAT.'!$E:$G,3,0)</f>
        <v>PB</v>
      </c>
      <c r="H95" s="47">
        <v>15</v>
      </c>
      <c r="I95" s="73">
        <f>SUMIFS(REQUISIÇÕES!$H:$H,REQUISIÇÕES!$F:$F,Tabela1[[#This Row],[CÓDIGO PRODU]],REQUISIÇÕES!$E:$E,Tabela1[[#This Row],[DEPTO]])</f>
        <v>0</v>
      </c>
      <c r="J95" s="51">
        <f t="shared" si="6"/>
        <v>15</v>
      </c>
      <c r="K95" s="22">
        <f>SUMIFS('lançamento cubo CPP'!$C:$C,'lançamento cubo CPP'!$B:$B,Tabela1[[#This Row],[CÓDIGO PRODU]],'lançamento cubo CPP'!$A:$A,Tabela1[[#This Row],[COMBOIO]])</f>
        <v>0</v>
      </c>
      <c r="L95" s="22">
        <f t="shared" si="7"/>
        <v>15</v>
      </c>
      <c r="M95" s="39"/>
      <c r="N95" s="40"/>
      <c r="O95" s="41"/>
      <c r="P95" s="22">
        <f t="shared" si="8"/>
        <v>-15</v>
      </c>
      <c r="Q95" s="50">
        <f>SUMIFS(REQUISIÇÕES!$N:$N,REQUISIÇÕES!$K:$K,E95,REQUISIÇÕES!$G:$G,D95)</f>
        <v>0</v>
      </c>
    </row>
    <row r="96" spans="1:17" ht="15.75" x14ac:dyDescent="0.25">
      <c r="A96" s="44">
        <v>42590</v>
      </c>
      <c r="B96" s="46">
        <v>0.34722222222222227</v>
      </c>
      <c r="C96" s="21">
        <v>226</v>
      </c>
      <c r="D96" s="22">
        <f>VLOOKUP(C96,'BD MAT.'!$E:$F,2,0)</f>
        <v>517</v>
      </c>
      <c r="E96" s="1">
        <v>50717</v>
      </c>
      <c r="F96" s="1" t="str">
        <f>IFERROR(VLOOKUP(E96,'BD MAT.'!$A:$B,2,0),"")</f>
        <v>OLEO LUBRIF SAE 85W140 API GL-5 TB 200L</v>
      </c>
      <c r="G96" s="22" t="str">
        <f>VLOOKUP(C96,'BD MAT.'!$E:$G,3,0)</f>
        <v>PB</v>
      </c>
      <c r="H96" s="47">
        <v>80</v>
      </c>
      <c r="I96" s="73">
        <f>SUMIFS(REQUISIÇÕES!$H:$H,REQUISIÇÕES!$F:$F,Tabela1[[#This Row],[CÓDIGO PRODU]],REQUISIÇÕES!$E:$E,Tabela1[[#This Row],[DEPTO]])</f>
        <v>0</v>
      </c>
      <c r="J96" s="51">
        <f>H96+I96</f>
        <v>80</v>
      </c>
      <c r="K96" s="22">
        <f>SUMIFS('lançamento cubo CPP'!$C:$C,'lançamento cubo CPP'!$B:$B,Tabela1[[#This Row],[CÓDIGO PRODU]],'lançamento cubo CPP'!$A:$A,Tabela1[[#This Row],[COMBOIO]])</f>
        <v>0</v>
      </c>
      <c r="L96" s="22">
        <f>J96-K96</f>
        <v>80</v>
      </c>
      <c r="M96" s="39"/>
      <c r="N96" s="40"/>
      <c r="O96" s="41"/>
      <c r="P96" s="22">
        <f>O96-L96</f>
        <v>-80</v>
      </c>
      <c r="Q96" s="50">
        <f>SUMIFS(REQUISIÇÕES!$N:$N,REQUISIÇÕES!$K:$K,E96,REQUISIÇÕES!$G:$G,D96)</f>
        <v>0</v>
      </c>
    </row>
    <row r="97" spans="1:17" ht="15.75" x14ac:dyDescent="0.25">
      <c r="A97" s="44">
        <v>42591</v>
      </c>
      <c r="B97" s="46">
        <v>0.36805555555555558</v>
      </c>
      <c r="C97" s="21">
        <v>227</v>
      </c>
      <c r="D97" s="22">
        <f>VLOOKUP(C97,'BD MAT.'!$E:$F,2,0)</f>
        <v>518</v>
      </c>
      <c r="E97" s="21">
        <v>54213</v>
      </c>
      <c r="F97" s="21" t="str">
        <f>IFERROR(VLOOKUP(E97,'BD MAT.'!$A:$B,2,0),"")</f>
        <v>OLEO LUBR SAE 10W30 MULT G NH410B</v>
      </c>
      <c r="G97" s="23" t="str">
        <f>VLOOKUP(C97,'BD MAT.'!$E:$G,3,0)</f>
        <v>PB</v>
      </c>
      <c r="H97" s="48">
        <v>200</v>
      </c>
      <c r="I97" s="73">
        <f>SUMIFS(REQUISIÇÕES!$H:$H,REQUISIÇÕES!$F:$F,Tabela1[[#This Row],[CÓDIGO PRODU]],REQUISIÇÕES!$E:$E,Tabela1[[#This Row],[DEPTO]])</f>
        <v>0</v>
      </c>
      <c r="J97" s="52">
        <f t="shared" si="6"/>
        <v>200</v>
      </c>
      <c r="K97" s="23">
        <f>SUMIFS('lançamento cubo CPP'!$C:$C,'lançamento cubo CPP'!$B:$B,Tabela1[[#This Row],[CÓDIGO PRODU]],'lançamento cubo CPP'!$A:$A,Tabela1[[#This Row],[COMBOIO]])</f>
        <v>0</v>
      </c>
      <c r="L97" s="23">
        <f t="shared" si="7"/>
        <v>200</v>
      </c>
      <c r="M97" s="39"/>
      <c r="N97" s="42"/>
      <c r="O97" s="43"/>
      <c r="P97" s="22">
        <f t="shared" si="8"/>
        <v>-200</v>
      </c>
      <c r="Q97" s="50">
        <f>SUMIFS(REQUISIÇÕES!$N:$N,REQUISIÇÕES!$K:$K,E97,REQUISIÇÕES!$G:$G,D97)</f>
        <v>0</v>
      </c>
    </row>
    <row r="98" spans="1:17" ht="15.75" x14ac:dyDescent="0.25">
      <c r="A98" s="44">
        <v>42591</v>
      </c>
      <c r="B98" s="46">
        <v>0.36805555555555558</v>
      </c>
      <c r="C98" s="21">
        <v>227</v>
      </c>
      <c r="D98" s="22">
        <f>VLOOKUP(C98,'BD MAT.'!$E:$F,2,0)</f>
        <v>518</v>
      </c>
      <c r="E98" s="1">
        <v>15699</v>
      </c>
      <c r="F98" s="1" t="str">
        <f>IFERROR(VLOOKUP(E98,'BD MAT.'!$A:$B,2,0),"")</f>
        <v>OLEO DE TRANSMISSAO SAE 50 9X8530 TO-4</v>
      </c>
      <c r="G98" s="22" t="str">
        <f>VLOOKUP(C98,'BD MAT.'!$E:$G,3,0)</f>
        <v>PB</v>
      </c>
      <c r="H98" s="47">
        <v>0</v>
      </c>
      <c r="I98" s="73">
        <f>SUMIFS(REQUISIÇÕES!$H:$H,REQUISIÇÕES!$F:$F,Tabela1[[#This Row],[CÓDIGO PRODU]],REQUISIÇÕES!$E:$E,Tabela1[[#This Row],[DEPTO]])</f>
        <v>500</v>
      </c>
      <c r="J98" s="51">
        <f t="shared" si="6"/>
        <v>500</v>
      </c>
      <c r="K98" s="22">
        <f>SUMIFS('lançamento cubo CPP'!$C:$C,'lançamento cubo CPP'!$B:$B,Tabela1[[#This Row],[CÓDIGO PRODU]],'lançamento cubo CPP'!$A:$A,Tabela1[[#This Row],[COMBOIO]])</f>
        <v>0</v>
      </c>
      <c r="L98" s="22">
        <f t="shared" si="7"/>
        <v>500</v>
      </c>
      <c r="M98" s="39"/>
      <c r="N98" s="40"/>
      <c r="O98" s="41"/>
      <c r="P98" s="22">
        <f t="shared" si="8"/>
        <v>-500</v>
      </c>
      <c r="Q98" s="50">
        <f>SUMIFS(REQUISIÇÕES!$N:$N,REQUISIÇÕES!$K:$K,E98,REQUISIÇÕES!$G:$G,D98)</f>
        <v>0</v>
      </c>
    </row>
    <row r="99" spans="1:17" ht="15.75" x14ac:dyDescent="0.25">
      <c r="A99" s="44">
        <v>42591</v>
      </c>
      <c r="B99" s="46">
        <v>0.36805555555555558</v>
      </c>
      <c r="C99" s="21">
        <v>227</v>
      </c>
      <c r="D99" s="22">
        <f>VLOOKUP(C99,'BD MAT.'!$E:$F,2,0)</f>
        <v>518</v>
      </c>
      <c r="E99" s="1">
        <v>2025</v>
      </c>
      <c r="F99" s="1" t="str">
        <f>IFERROR(VLOOKUP(E99,'BD MAT.'!$A:$B,2,0),"")</f>
        <v>OLEO LUBRIF ISO 68 DIN 51524 HLP TB 200L</v>
      </c>
      <c r="G99" s="22" t="str">
        <f>VLOOKUP(C99,'BD MAT.'!$E:$G,3,0)</f>
        <v>PB</v>
      </c>
      <c r="H99" s="47">
        <v>80</v>
      </c>
      <c r="I99" s="73">
        <f>SUMIFS(REQUISIÇÕES!$H:$H,REQUISIÇÕES!$F:$F,Tabela1[[#This Row],[CÓDIGO PRODU]],REQUISIÇÕES!$E:$E,Tabela1[[#This Row],[DEPTO]])</f>
        <v>0</v>
      </c>
      <c r="J99" s="51">
        <f t="shared" si="6"/>
        <v>80</v>
      </c>
      <c r="K99" s="22">
        <f>SUMIFS('lançamento cubo CPP'!$C:$C,'lançamento cubo CPP'!$B:$B,Tabela1[[#This Row],[CÓDIGO PRODU]],'lançamento cubo CPP'!$A:$A,Tabela1[[#This Row],[COMBOIO]])</f>
        <v>0</v>
      </c>
      <c r="L99" s="22">
        <f t="shared" si="7"/>
        <v>80</v>
      </c>
      <c r="M99" s="39"/>
      <c r="N99" s="40"/>
      <c r="O99" s="41"/>
      <c r="P99" s="22">
        <f t="shared" si="8"/>
        <v>-80</v>
      </c>
      <c r="Q99" s="50">
        <f>SUMIFS(REQUISIÇÕES!$N:$N,REQUISIÇÕES!$K:$K,E99,REQUISIÇÕES!$G:$G,D99)</f>
        <v>0</v>
      </c>
    </row>
    <row r="100" spans="1:17" ht="15.75" x14ac:dyDescent="0.25">
      <c r="A100" s="44">
        <v>42591</v>
      </c>
      <c r="B100" s="46">
        <v>0.36805555555555558</v>
      </c>
      <c r="C100" s="21">
        <v>227</v>
      </c>
      <c r="D100" s="22">
        <f>VLOOKUP(C100,'BD MAT.'!$E:$F,2,0)</f>
        <v>518</v>
      </c>
      <c r="E100" s="1">
        <v>50717</v>
      </c>
      <c r="F100" s="1" t="str">
        <f>IFERROR(VLOOKUP(E100,'BD MAT.'!$A:$B,2,0),"")</f>
        <v>OLEO LUBRIF SAE 85W140 API GL-5 TB 200L</v>
      </c>
      <c r="G100" s="22" t="str">
        <f>VLOOKUP(C100,'BD MAT.'!$E:$G,3,0)</f>
        <v>PB</v>
      </c>
      <c r="H100" s="47">
        <v>48</v>
      </c>
      <c r="I100" s="73">
        <f>SUMIFS(REQUISIÇÕES!$H:$H,REQUISIÇÕES!$F:$F,Tabela1[[#This Row],[CÓDIGO PRODU]],REQUISIÇÕES!$E:$E,Tabela1[[#This Row],[DEPTO]])</f>
        <v>0</v>
      </c>
      <c r="J100" s="51">
        <f t="shared" si="6"/>
        <v>48</v>
      </c>
      <c r="K100" s="22">
        <f>SUMIFS('lançamento cubo CPP'!$C:$C,'lançamento cubo CPP'!$B:$B,Tabela1[[#This Row],[CÓDIGO PRODU]],'lançamento cubo CPP'!$A:$A,Tabela1[[#This Row],[COMBOIO]])</f>
        <v>0</v>
      </c>
      <c r="L100" s="22">
        <f t="shared" si="7"/>
        <v>48</v>
      </c>
      <c r="M100" s="39"/>
      <c r="N100" s="40"/>
      <c r="O100" s="41"/>
      <c r="P100" s="22">
        <f t="shared" si="8"/>
        <v>-48</v>
      </c>
      <c r="Q100" s="50">
        <f>SUMIFS(REQUISIÇÕES!$N:$N,REQUISIÇÕES!$K:$K,E100,REQUISIÇÕES!$G:$G,D100)</f>
        <v>0</v>
      </c>
    </row>
    <row r="101" spans="1:17" ht="15.75" x14ac:dyDescent="0.25">
      <c r="A101" s="44">
        <v>42591</v>
      </c>
      <c r="B101" s="46">
        <v>0.36805555555555558</v>
      </c>
      <c r="C101" s="21">
        <v>227</v>
      </c>
      <c r="D101" s="22">
        <f>VLOOKUP(C101,'BD MAT.'!$E:$F,2,0)</f>
        <v>518</v>
      </c>
      <c r="E101" s="1">
        <v>15692</v>
      </c>
      <c r="F101" s="1" t="str">
        <f>IFERROR(VLOOKUP(E101,'BD MAT.'!$A:$B,2,0),"")</f>
        <v>OLEO LUBRIF SAE 15W40 API CJ-4S/M</v>
      </c>
      <c r="G101" s="22" t="str">
        <f>VLOOKUP(C101,'BD MAT.'!$E:$G,3,0)</f>
        <v>PB</v>
      </c>
      <c r="H101" s="47">
        <v>470</v>
      </c>
      <c r="I101" s="73">
        <f>SUMIFS(REQUISIÇÕES!$H:$H,REQUISIÇÕES!$F:$F,Tabela1[[#This Row],[CÓDIGO PRODU]],REQUISIÇÕES!$E:$E,Tabela1[[#This Row],[DEPTO]])</f>
        <v>550</v>
      </c>
      <c r="J101" s="51">
        <f t="shared" si="6"/>
        <v>1020</v>
      </c>
      <c r="K101" s="22">
        <f>SUMIFS('lançamento cubo CPP'!$C:$C,'lançamento cubo CPP'!$B:$B,Tabela1[[#This Row],[CÓDIGO PRODU]],'lançamento cubo CPP'!$A:$A,Tabela1[[#This Row],[COMBOIO]])</f>
        <v>0</v>
      </c>
      <c r="L101" s="22">
        <f t="shared" si="7"/>
        <v>1020</v>
      </c>
      <c r="M101" s="39"/>
      <c r="N101" s="40"/>
      <c r="O101" s="41"/>
      <c r="P101" s="22">
        <f t="shared" si="8"/>
        <v>-1020</v>
      </c>
      <c r="Q101" s="50">
        <f>SUMIFS(REQUISIÇÕES!$N:$N,REQUISIÇÕES!$K:$K,E101,REQUISIÇÕES!$G:$G,D101)</f>
        <v>0</v>
      </c>
    </row>
    <row r="102" spans="1:17" ht="15.75" x14ac:dyDescent="0.25">
      <c r="A102" s="44">
        <v>42591</v>
      </c>
      <c r="B102" s="46">
        <v>0.36805555555555558</v>
      </c>
      <c r="C102" s="21">
        <v>227</v>
      </c>
      <c r="D102" s="22">
        <f>VLOOKUP(C102,'BD MAT.'!$E:$F,2,0)</f>
        <v>518</v>
      </c>
      <c r="E102" s="1">
        <v>107124</v>
      </c>
      <c r="F102" s="1" t="str">
        <f>IFERROR(VLOOKUP(E102,'BD MAT.'!$A:$B,2,0),"")</f>
        <v>GRAXA LUBRIF COMPLEXO LITIO NLGI-2 170KG</v>
      </c>
      <c r="G102" s="22" t="str">
        <f>VLOOKUP(C102,'BD MAT.'!$E:$G,3,0)</f>
        <v>PB</v>
      </c>
      <c r="H102" s="47">
        <v>75</v>
      </c>
      <c r="I102" s="73">
        <f>SUMIFS(REQUISIÇÕES!$H:$H,REQUISIÇÕES!$F:$F,Tabela1[[#This Row],[CÓDIGO PRODU]],REQUISIÇÕES!$E:$E,Tabela1[[#This Row],[DEPTO]])</f>
        <v>0</v>
      </c>
      <c r="J102" s="51">
        <f t="shared" si="6"/>
        <v>75</v>
      </c>
      <c r="K102" s="22">
        <f>SUMIFS('lançamento cubo CPP'!$C:$C,'lançamento cubo CPP'!$B:$B,Tabela1[[#This Row],[CÓDIGO PRODU]],'lançamento cubo CPP'!$A:$A,Tabela1[[#This Row],[COMBOIO]])</f>
        <v>0</v>
      </c>
      <c r="L102" s="22">
        <f t="shared" si="7"/>
        <v>75</v>
      </c>
      <c r="M102" s="39"/>
      <c r="N102" s="40"/>
      <c r="O102" s="41"/>
      <c r="P102" s="22">
        <f t="shared" si="8"/>
        <v>-75</v>
      </c>
      <c r="Q102" s="50">
        <f>SUMIFS(REQUISIÇÕES!$N:$N,REQUISIÇÕES!$K:$K,E102,REQUISIÇÕES!$G:$G,D102)</f>
        <v>0</v>
      </c>
    </row>
    <row r="103" spans="1:17" ht="15.75" x14ac:dyDescent="0.25">
      <c r="A103" s="44">
        <v>42592</v>
      </c>
      <c r="B103" s="46">
        <v>0.44444444444444442</v>
      </c>
      <c r="C103" s="21">
        <v>228</v>
      </c>
      <c r="D103" s="22">
        <f>VLOOKUP(C103,'BD MAT.'!$E:$F,2,0)</f>
        <v>519</v>
      </c>
      <c r="E103" s="21">
        <v>54213</v>
      </c>
      <c r="F103" s="21" t="str">
        <f>IFERROR(VLOOKUP(E103,'BD MAT.'!$A:$B,2,0),"")</f>
        <v>OLEO LUBR SAE 10W30 MULT G NH410B</v>
      </c>
      <c r="G103" s="23" t="str">
        <f>VLOOKUP(C103,'BD MAT.'!$E:$G,3,0)</f>
        <v>PB</v>
      </c>
      <c r="H103" s="48">
        <v>163</v>
      </c>
      <c r="I103" s="73">
        <f>SUMIFS(REQUISIÇÕES!$H:$H,REQUISIÇÕES!$F:$F,Tabela1[[#This Row],[CÓDIGO PRODU]],REQUISIÇÕES!$E:$E,Tabela1[[#This Row],[DEPTO]])</f>
        <v>0</v>
      </c>
      <c r="J103" s="52">
        <f t="shared" ref="J103:J130" si="9">H103+I103</f>
        <v>163</v>
      </c>
      <c r="K103" s="23">
        <f>SUMIFS('lançamento cubo CPP'!$C:$C,'lançamento cubo CPP'!$B:$B,Tabela1[[#This Row],[CÓDIGO PRODU]],'lançamento cubo CPP'!$A:$A,Tabela1[[#This Row],[COMBOIO]])</f>
        <v>0</v>
      </c>
      <c r="L103" s="23">
        <f t="shared" ref="L103:L130" si="10">J103-K103</f>
        <v>163</v>
      </c>
      <c r="M103" s="39"/>
      <c r="N103" s="42"/>
      <c r="O103" s="43"/>
      <c r="P103" s="22">
        <f t="shared" ref="P103:P130" si="11">O103-L103</f>
        <v>-163</v>
      </c>
      <c r="Q103" s="50">
        <f>SUMIFS(REQUISIÇÕES!$N:$N,REQUISIÇÕES!$K:$K,E103,REQUISIÇÕES!$G:$G,D103)</f>
        <v>0</v>
      </c>
    </row>
    <row r="104" spans="1:17" ht="15.75" x14ac:dyDescent="0.25">
      <c r="A104" s="44">
        <v>42592</v>
      </c>
      <c r="B104" s="46">
        <v>0.44444444444444442</v>
      </c>
      <c r="C104" s="21">
        <v>228</v>
      </c>
      <c r="D104" s="22">
        <f>VLOOKUP(C104,'BD MAT.'!$E:$F,2,0)</f>
        <v>519</v>
      </c>
      <c r="E104" s="1">
        <v>15699</v>
      </c>
      <c r="F104" s="1" t="str">
        <f>IFERROR(VLOOKUP(E104,'BD MAT.'!$A:$B,2,0),"")</f>
        <v>OLEO DE TRANSMISSAO SAE 50 9X8530 TO-4</v>
      </c>
      <c r="G104" s="22" t="str">
        <f>VLOOKUP(C104,'BD MAT.'!$E:$G,3,0)</f>
        <v>PB</v>
      </c>
      <c r="H104" s="47">
        <v>0</v>
      </c>
      <c r="I104" s="73">
        <f>SUMIFS(REQUISIÇÕES!$H:$H,REQUISIÇÕES!$F:$F,Tabela1[[#This Row],[CÓDIGO PRODU]],REQUISIÇÕES!$E:$E,Tabela1[[#This Row],[DEPTO]])</f>
        <v>0</v>
      </c>
      <c r="J104" s="51">
        <f t="shared" si="9"/>
        <v>0</v>
      </c>
      <c r="K104" s="22">
        <f>SUMIFS('lançamento cubo CPP'!$C:$C,'lançamento cubo CPP'!$B:$B,Tabela1[[#This Row],[CÓDIGO PRODU]],'lançamento cubo CPP'!$A:$A,Tabela1[[#This Row],[COMBOIO]])</f>
        <v>0</v>
      </c>
      <c r="L104" s="22">
        <f t="shared" si="10"/>
        <v>0</v>
      </c>
      <c r="M104" s="39"/>
      <c r="N104" s="40"/>
      <c r="O104" s="41"/>
      <c r="P104" s="22">
        <f t="shared" si="11"/>
        <v>0</v>
      </c>
      <c r="Q104" s="50">
        <f>SUMIFS(REQUISIÇÕES!$N:$N,REQUISIÇÕES!$K:$K,E104,REQUISIÇÕES!$G:$G,D104)</f>
        <v>0</v>
      </c>
    </row>
    <row r="105" spans="1:17" ht="15.75" x14ac:dyDescent="0.25">
      <c r="A105" s="44">
        <v>42592</v>
      </c>
      <c r="B105" s="46">
        <v>0.44444444444444442</v>
      </c>
      <c r="C105" s="21">
        <v>228</v>
      </c>
      <c r="D105" s="22">
        <f>VLOOKUP(C105,'BD MAT.'!$E:$F,2,0)</f>
        <v>519</v>
      </c>
      <c r="E105" s="1">
        <v>2025</v>
      </c>
      <c r="F105" s="1" t="str">
        <f>IFERROR(VLOOKUP(E105,'BD MAT.'!$A:$B,2,0),"")</f>
        <v>OLEO LUBRIF ISO 68 DIN 51524 HLP TB 200L</v>
      </c>
      <c r="G105" s="22" t="str">
        <f>VLOOKUP(C105,'BD MAT.'!$E:$G,3,0)</f>
        <v>PB</v>
      </c>
      <c r="H105" s="47">
        <v>182</v>
      </c>
      <c r="I105" s="73">
        <f>SUMIFS(REQUISIÇÕES!$H:$H,REQUISIÇÕES!$F:$F,Tabela1[[#This Row],[CÓDIGO PRODU]],REQUISIÇÕES!$E:$E,Tabela1[[#This Row],[DEPTO]])</f>
        <v>0</v>
      </c>
      <c r="J105" s="51">
        <f t="shared" si="9"/>
        <v>182</v>
      </c>
      <c r="K105" s="22">
        <f>SUMIFS('lançamento cubo CPP'!$C:$C,'lançamento cubo CPP'!$B:$B,Tabela1[[#This Row],[CÓDIGO PRODU]],'lançamento cubo CPP'!$A:$A,Tabela1[[#This Row],[COMBOIO]])</f>
        <v>0</v>
      </c>
      <c r="L105" s="22">
        <f t="shared" si="10"/>
        <v>182</v>
      </c>
      <c r="M105" s="39"/>
      <c r="N105" s="40"/>
      <c r="O105" s="41"/>
      <c r="P105" s="22">
        <f t="shared" si="11"/>
        <v>-182</v>
      </c>
      <c r="Q105" s="50">
        <f>SUMIFS(REQUISIÇÕES!$N:$N,REQUISIÇÕES!$K:$K,E105,REQUISIÇÕES!$G:$G,D105)</f>
        <v>0</v>
      </c>
    </row>
    <row r="106" spans="1:17" ht="15.75" x14ac:dyDescent="0.25">
      <c r="A106" s="44">
        <v>42592</v>
      </c>
      <c r="B106" s="46">
        <v>0.44444444444444442</v>
      </c>
      <c r="C106" s="21">
        <v>228</v>
      </c>
      <c r="D106" s="22">
        <f>VLOOKUP(C106,'BD MAT.'!$E:$F,2,0)</f>
        <v>519</v>
      </c>
      <c r="E106" s="1">
        <v>50717</v>
      </c>
      <c r="F106" s="1" t="str">
        <f>IFERROR(VLOOKUP(E106,'BD MAT.'!$A:$B,2,0),"")</f>
        <v>OLEO LUBRIF SAE 85W140 API GL-5 TB 200L</v>
      </c>
      <c r="G106" s="22" t="str">
        <f>VLOOKUP(C106,'BD MAT.'!$E:$G,3,0)</f>
        <v>PB</v>
      </c>
      <c r="H106" s="47">
        <v>177</v>
      </c>
      <c r="I106" s="73">
        <f>SUMIFS(REQUISIÇÕES!$H:$H,REQUISIÇÕES!$F:$F,Tabela1[[#This Row],[CÓDIGO PRODU]],REQUISIÇÕES!$E:$E,Tabela1[[#This Row],[DEPTO]])</f>
        <v>200</v>
      </c>
      <c r="J106" s="51">
        <f t="shared" si="9"/>
        <v>377</v>
      </c>
      <c r="K106" s="22">
        <f>SUMIFS('lançamento cubo CPP'!$C:$C,'lançamento cubo CPP'!$B:$B,Tabela1[[#This Row],[CÓDIGO PRODU]],'lançamento cubo CPP'!$A:$A,Tabela1[[#This Row],[COMBOIO]])</f>
        <v>0</v>
      </c>
      <c r="L106" s="22">
        <f t="shared" si="10"/>
        <v>377</v>
      </c>
      <c r="M106" s="39"/>
      <c r="N106" s="40"/>
      <c r="O106" s="41"/>
      <c r="P106" s="22">
        <f t="shared" si="11"/>
        <v>-377</v>
      </c>
      <c r="Q106" s="50">
        <f>SUMIFS(REQUISIÇÕES!$N:$N,REQUISIÇÕES!$K:$K,E106,REQUISIÇÕES!$G:$G,D106)</f>
        <v>0</v>
      </c>
    </row>
    <row r="107" spans="1:17" ht="15.75" x14ac:dyDescent="0.25">
      <c r="A107" s="44">
        <v>42592</v>
      </c>
      <c r="B107" s="46">
        <v>0.44444444444444442</v>
      </c>
      <c r="C107" s="21">
        <v>228</v>
      </c>
      <c r="D107" s="22">
        <f>VLOOKUP(C107,'BD MAT.'!$E:$F,2,0)</f>
        <v>519</v>
      </c>
      <c r="E107" s="1">
        <v>15692</v>
      </c>
      <c r="F107" s="1" t="str">
        <f>IFERROR(VLOOKUP(E107,'BD MAT.'!$A:$B,2,0),"")</f>
        <v>OLEO LUBRIF SAE 15W40 API CJ-4S/M</v>
      </c>
      <c r="G107" s="22" t="str">
        <f>VLOOKUP(C107,'BD MAT.'!$E:$G,3,0)</f>
        <v>PB</v>
      </c>
      <c r="H107" s="47">
        <v>489</v>
      </c>
      <c r="I107" s="73">
        <f>SUMIFS(REQUISIÇÕES!$H:$H,REQUISIÇÕES!$F:$F,Tabela1[[#This Row],[CÓDIGO PRODU]],REQUISIÇÕES!$E:$E,Tabela1[[#This Row],[DEPTO]])</f>
        <v>280</v>
      </c>
      <c r="J107" s="51">
        <f t="shared" si="9"/>
        <v>769</v>
      </c>
      <c r="K107" s="22">
        <f>SUMIFS('lançamento cubo CPP'!$C:$C,'lançamento cubo CPP'!$B:$B,Tabela1[[#This Row],[CÓDIGO PRODU]],'lançamento cubo CPP'!$A:$A,Tabela1[[#This Row],[COMBOIO]])</f>
        <v>0</v>
      </c>
      <c r="L107" s="22">
        <f t="shared" si="10"/>
        <v>769</v>
      </c>
      <c r="M107" s="39"/>
      <c r="N107" s="40"/>
      <c r="O107" s="41"/>
      <c r="P107" s="22">
        <f t="shared" si="11"/>
        <v>-769</v>
      </c>
      <c r="Q107" s="50">
        <f>SUMIFS(REQUISIÇÕES!$N:$N,REQUISIÇÕES!$K:$K,E107,REQUISIÇÕES!$G:$G,D107)</f>
        <v>0</v>
      </c>
    </row>
    <row r="108" spans="1:17" ht="15.75" x14ac:dyDescent="0.25">
      <c r="A108" s="44">
        <v>42592</v>
      </c>
      <c r="B108" s="46">
        <v>0.44444444444444442</v>
      </c>
      <c r="C108" s="21">
        <v>228</v>
      </c>
      <c r="D108" s="22">
        <f>VLOOKUP(C108,'BD MAT.'!$E:$F,2,0)</f>
        <v>519</v>
      </c>
      <c r="E108" s="1">
        <v>107124</v>
      </c>
      <c r="F108" s="1" t="str">
        <f>IFERROR(VLOOKUP(E108,'BD MAT.'!$A:$B,2,0),"")</f>
        <v>GRAXA LUBRIF COMPLEXO LITIO NLGI-2 170KG</v>
      </c>
      <c r="G108" s="22" t="str">
        <f>VLOOKUP(C108,'BD MAT.'!$E:$G,3,0)</f>
        <v>PB</v>
      </c>
      <c r="H108" s="47">
        <v>90</v>
      </c>
      <c r="I108" s="73">
        <f>SUMIFS(REQUISIÇÕES!$H:$H,REQUISIÇÕES!$F:$F,Tabela1[[#This Row],[CÓDIGO PRODU]],REQUISIÇÕES!$E:$E,Tabela1[[#This Row],[DEPTO]])</f>
        <v>170</v>
      </c>
      <c r="J108" s="51">
        <f>H108+I108</f>
        <v>260</v>
      </c>
      <c r="K108" s="22">
        <f>SUMIFS('lançamento cubo CPP'!$C:$C,'lançamento cubo CPP'!$B:$B,Tabela1[[#This Row],[CÓDIGO PRODU]],'lançamento cubo CPP'!$A:$A,Tabela1[[#This Row],[COMBOIO]])</f>
        <v>0</v>
      </c>
      <c r="L108" s="22">
        <f>J108-K108</f>
        <v>260</v>
      </c>
      <c r="M108" s="39"/>
      <c r="N108" s="40"/>
      <c r="O108" s="41"/>
      <c r="P108" s="22">
        <f>O108-L108</f>
        <v>-260</v>
      </c>
      <c r="Q108" s="50">
        <f>SUMIFS(REQUISIÇÕES!$N:$N,REQUISIÇÕES!$K:$K,E108,REQUISIÇÕES!$G:$G,D108)</f>
        <v>0</v>
      </c>
    </row>
    <row r="109" spans="1:17" ht="15.75" x14ac:dyDescent="0.25">
      <c r="A109" s="44">
        <v>42592</v>
      </c>
      <c r="B109" s="46">
        <v>0.4375</v>
      </c>
      <c r="C109" s="21">
        <v>237</v>
      </c>
      <c r="D109" s="22">
        <f>VLOOKUP(C109,'BD MAT.'!$E:$F,2,0)</f>
        <v>520</v>
      </c>
      <c r="E109" s="21">
        <v>54213</v>
      </c>
      <c r="F109" s="21" t="str">
        <f>IFERROR(VLOOKUP(E109,'BD MAT.'!$A:$B,2,0),"")</f>
        <v>OLEO LUBR SAE 10W30 MULT G NH410B</v>
      </c>
      <c r="G109" s="23" t="str">
        <f>VLOOKUP(C109,'BD MAT.'!$E:$G,3,0)</f>
        <v>PB</v>
      </c>
      <c r="H109" s="48">
        <v>50</v>
      </c>
      <c r="I109" s="73">
        <f>SUMIFS(REQUISIÇÕES!$H:$H,REQUISIÇÕES!$F:$F,Tabela1[[#This Row],[CÓDIGO PRODU]],REQUISIÇÕES!$E:$E,Tabela1[[#This Row],[DEPTO]])</f>
        <v>0</v>
      </c>
      <c r="J109" s="52">
        <f t="shared" si="9"/>
        <v>50</v>
      </c>
      <c r="K109" s="23">
        <f>SUMIFS('lançamento cubo CPP'!$C:$C,'lançamento cubo CPP'!$B:$B,Tabela1[[#This Row],[CÓDIGO PRODU]],'lançamento cubo CPP'!$A:$A,Tabela1[[#This Row],[COMBOIO]])</f>
        <v>0</v>
      </c>
      <c r="L109" s="23">
        <f t="shared" si="10"/>
        <v>50</v>
      </c>
      <c r="M109" s="39"/>
      <c r="N109" s="42"/>
      <c r="O109" s="43"/>
      <c r="P109" s="22">
        <f t="shared" si="11"/>
        <v>-50</v>
      </c>
      <c r="Q109" s="50">
        <f>SUMIFS(REQUISIÇÕES!$N:$N,REQUISIÇÕES!$K:$K,E109,REQUISIÇÕES!$G:$G,D109)</f>
        <v>0</v>
      </c>
    </row>
    <row r="110" spans="1:17" ht="15.75" x14ac:dyDescent="0.25">
      <c r="A110" s="44">
        <v>42592</v>
      </c>
      <c r="B110" s="46">
        <v>0.4375</v>
      </c>
      <c r="C110" s="21">
        <v>237</v>
      </c>
      <c r="D110" s="22">
        <f>VLOOKUP(C110,'BD MAT.'!$E:$F,2,0)</f>
        <v>520</v>
      </c>
      <c r="E110" s="1">
        <v>15699</v>
      </c>
      <c r="F110" s="1" t="str">
        <f>IFERROR(VLOOKUP(E110,'BD MAT.'!$A:$B,2,0),"")</f>
        <v>OLEO DE TRANSMISSAO SAE 50 9X8530 TO-4</v>
      </c>
      <c r="G110" s="22" t="str">
        <f>VLOOKUP(C110,'BD MAT.'!$E:$G,3,0)</f>
        <v>PB</v>
      </c>
      <c r="H110" s="47">
        <v>0</v>
      </c>
      <c r="I110" s="73">
        <f>SUMIFS(REQUISIÇÕES!$H:$H,REQUISIÇÕES!$F:$F,Tabela1[[#This Row],[CÓDIGO PRODU]],REQUISIÇÕES!$E:$E,Tabela1[[#This Row],[DEPTO]])</f>
        <v>0</v>
      </c>
      <c r="J110" s="51">
        <f t="shared" si="9"/>
        <v>0</v>
      </c>
      <c r="K110" s="22">
        <f>SUMIFS('lançamento cubo CPP'!$C:$C,'lançamento cubo CPP'!$B:$B,Tabela1[[#This Row],[CÓDIGO PRODU]],'lançamento cubo CPP'!$A:$A,Tabela1[[#This Row],[COMBOIO]])</f>
        <v>0</v>
      </c>
      <c r="L110" s="22">
        <f t="shared" si="10"/>
        <v>0</v>
      </c>
      <c r="M110" s="39"/>
      <c r="N110" s="40"/>
      <c r="O110" s="41"/>
      <c r="P110" s="22">
        <f t="shared" si="11"/>
        <v>0</v>
      </c>
      <c r="Q110" s="50">
        <f>SUMIFS(REQUISIÇÕES!$N:$N,REQUISIÇÕES!$K:$K,E110,REQUISIÇÕES!$G:$G,D110)</f>
        <v>0</v>
      </c>
    </row>
    <row r="111" spans="1:17" ht="15.75" x14ac:dyDescent="0.25">
      <c r="A111" s="44">
        <v>42592</v>
      </c>
      <c r="B111" s="46">
        <v>0.4375</v>
      </c>
      <c r="C111" s="21">
        <v>237</v>
      </c>
      <c r="D111" s="22">
        <f>VLOOKUP(C111,'BD MAT.'!$E:$F,2,0)</f>
        <v>520</v>
      </c>
      <c r="E111" s="1">
        <v>2025</v>
      </c>
      <c r="F111" s="1" t="str">
        <f>IFERROR(VLOOKUP(E111,'BD MAT.'!$A:$B,2,0),"")</f>
        <v>OLEO LUBRIF ISO 68 DIN 51524 HLP TB 200L</v>
      </c>
      <c r="G111" s="22" t="str">
        <f>VLOOKUP(C111,'BD MAT.'!$E:$G,3,0)</f>
        <v>PB</v>
      </c>
      <c r="H111" s="47">
        <v>0</v>
      </c>
      <c r="I111" s="73">
        <f>SUMIFS(REQUISIÇÕES!$H:$H,REQUISIÇÕES!$F:$F,Tabela1[[#This Row],[CÓDIGO PRODU]],REQUISIÇÕES!$E:$E,Tabela1[[#This Row],[DEPTO]])</f>
        <v>0</v>
      </c>
      <c r="J111" s="51">
        <f t="shared" si="9"/>
        <v>0</v>
      </c>
      <c r="K111" s="22">
        <f>SUMIFS('lançamento cubo CPP'!$C:$C,'lançamento cubo CPP'!$B:$B,Tabela1[[#This Row],[CÓDIGO PRODU]],'lançamento cubo CPP'!$A:$A,Tabela1[[#This Row],[COMBOIO]])</f>
        <v>0</v>
      </c>
      <c r="L111" s="22">
        <f t="shared" si="10"/>
        <v>0</v>
      </c>
      <c r="M111" s="39"/>
      <c r="N111" s="40"/>
      <c r="O111" s="41"/>
      <c r="P111" s="22">
        <f t="shared" si="11"/>
        <v>0</v>
      </c>
      <c r="Q111" s="50">
        <f>SUMIFS(REQUISIÇÕES!$N:$N,REQUISIÇÕES!$K:$K,E111,REQUISIÇÕES!$G:$G,D111)</f>
        <v>0</v>
      </c>
    </row>
    <row r="112" spans="1:17" ht="15.75" x14ac:dyDescent="0.25">
      <c r="A112" s="44">
        <v>42592</v>
      </c>
      <c r="B112" s="46">
        <v>0.4375</v>
      </c>
      <c r="C112" s="21">
        <v>237</v>
      </c>
      <c r="D112" s="22">
        <f>VLOOKUP(C112,'BD MAT.'!$E:$F,2,0)</f>
        <v>520</v>
      </c>
      <c r="E112" s="1">
        <v>50717</v>
      </c>
      <c r="F112" s="1" t="str">
        <f>IFERROR(VLOOKUP(E112,'BD MAT.'!$A:$B,2,0),"")</f>
        <v>OLEO LUBRIF SAE 85W140 API GL-5 TB 200L</v>
      </c>
      <c r="G112" s="22" t="str">
        <f>VLOOKUP(C112,'BD MAT.'!$E:$G,3,0)</f>
        <v>PB</v>
      </c>
      <c r="H112" s="47">
        <v>90</v>
      </c>
      <c r="I112" s="73">
        <f>SUMIFS(REQUISIÇÕES!$H:$H,REQUISIÇÕES!$F:$F,Tabela1[[#This Row],[CÓDIGO PRODU]],REQUISIÇÕES!$E:$E,Tabela1[[#This Row],[DEPTO]])</f>
        <v>0</v>
      </c>
      <c r="J112" s="51">
        <f t="shared" si="9"/>
        <v>90</v>
      </c>
      <c r="K112" s="22">
        <f>SUMIFS('lançamento cubo CPP'!$C:$C,'lançamento cubo CPP'!$B:$B,Tabela1[[#This Row],[CÓDIGO PRODU]],'lançamento cubo CPP'!$A:$A,Tabela1[[#This Row],[COMBOIO]])</f>
        <v>0</v>
      </c>
      <c r="L112" s="22">
        <f t="shared" si="10"/>
        <v>90</v>
      </c>
      <c r="M112" s="39"/>
      <c r="N112" s="40"/>
      <c r="O112" s="41"/>
      <c r="P112" s="22">
        <f t="shared" si="11"/>
        <v>-90</v>
      </c>
      <c r="Q112" s="50">
        <f>SUMIFS(REQUISIÇÕES!$N:$N,REQUISIÇÕES!$K:$K,E112,REQUISIÇÕES!$G:$G,D112)</f>
        <v>0</v>
      </c>
    </row>
    <row r="113" spans="1:17" ht="15.75" x14ac:dyDescent="0.25">
      <c r="A113" s="44">
        <v>42592</v>
      </c>
      <c r="B113" s="46">
        <v>0.4375</v>
      </c>
      <c r="C113" s="21">
        <v>237</v>
      </c>
      <c r="D113" s="22">
        <f>VLOOKUP(C113,'BD MAT.'!$E:$F,2,0)</f>
        <v>520</v>
      </c>
      <c r="E113" s="1">
        <v>15692</v>
      </c>
      <c r="F113" s="1" t="str">
        <f>IFERROR(VLOOKUP(E113,'BD MAT.'!$A:$B,2,0),"")</f>
        <v>OLEO LUBRIF SAE 15W40 API CJ-4S/M</v>
      </c>
      <c r="G113" s="22" t="str">
        <f>VLOOKUP(C113,'BD MAT.'!$E:$G,3,0)</f>
        <v>PB</v>
      </c>
      <c r="H113" s="47">
        <v>180</v>
      </c>
      <c r="I113" s="73">
        <f>SUMIFS(REQUISIÇÕES!$H:$H,REQUISIÇÕES!$F:$F,Tabela1[[#This Row],[CÓDIGO PRODU]],REQUISIÇÕES!$E:$E,Tabela1[[#This Row],[DEPTO]])</f>
        <v>800</v>
      </c>
      <c r="J113" s="51">
        <f t="shared" si="9"/>
        <v>980</v>
      </c>
      <c r="K113" s="22">
        <f>SUMIFS('lançamento cubo CPP'!$C:$C,'lançamento cubo CPP'!$B:$B,Tabela1[[#This Row],[CÓDIGO PRODU]],'lançamento cubo CPP'!$A:$A,Tabela1[[#This Row],[COMBOIO]])</f>
        <v>0</v>
      </c>
      <c r="L113" s="22">
        <f t="shared" si="10"/>
        <v>980</v>
      </c>
      <c r="M113" s="39"/>
      <c r="N113" s="40"/>
      <c r="O113" s="41"/>
      <c r="P113" s="22">
        <f t="shared" si="11"/>
        <v>-980</v>
      </c>
      <c r="Q113" s="50">
        <f>SUMIFS(REQUISIÇÕES!$N:$N,REQUISIÇÕES!$K:$K,E113,REQUISIÇÕES!$G:$G,D113)</f>
        <v>0</v>
      </c>
    </row>
    <row r="114" spans="1:17" ht="15.75" x14ac:dyDescent="0.25">
      <c r="A114" s="44">
        <v>42590</v>
      </c>
      <c r="B114" s="46">
        <v>0.57291666666666663</v>
      </c>
      <c r="C114" s="21">
        <v>235</v>
      </c>
      <c r="D114" s="22">
        <f>VLOOKUP(C114,'BD MAT.'!$E:$F,2,0)</f>
        <v>524</v>
      </c>
      <c r="E114" s="21">
        <v>107124</v>
      </c>
      <c r="F114" s="21" t="str">
        <f>IFERROR(VLOOKUP(E114,'BD MAT.'!$A:$B,2,0),"")</f>
        <v>GRAXA LUBRIF COMPLEXO LITIO NLGI-2 170KG</v>
      </c>
      <c r="G114" s="23" t="str">
        <f>VLOOKUP(C114,'BD MAT.'!$E:$G,3,0)</f>
        <v>PB</v>
      </c>
      <c r="H114" s="48">
        <v>170</v>
      </c>
      <c r="I114" s="73">
        <f>SUMIFS(REQUISIÇÕES!$H:$H,REQUISIÇÕES!$F:$F,Tabela1[[#This Row],[CÓDIGO PRODU]],REQUISIÇÕES!$E:$E,Tabela1[[#This Row],[DEPTO]])</f>
        <v>0</v>
      </c>
      <c r="J114" s="52">
        <f t="shared" si="9"/>
        <v>170</v>
      </c>
      <c r="K114" s="23">
        <f>SUMIFS('lançamento cubo CPP'!$C:$C,'lançamento cubo CPP'!$B:$B,Tabela1[[#This Row],[CÓDIGO PRODU]],'lançamento cubo CPP'!$A:$A,Tabela1[[#This Row],[COMBOIO]])</f>
        <v>0</v>
      </c>
      <c r="L114" s="23">
        <f t="shared" si="10"/>
        <v>170</v>
      </c>
      <c r="M114" s="39"/>
      <c r="N114" s="42"/>
      <c r="O114" s="43"/>
      <c r="P114" s="22">
        <f t="shared" si="11"/>
        <v>-170</v>
      </c>
      <c r="Q114" s="50">
        <f>SUMIFS(REQUISIÇÕES!$N:$N,REQUISIÇÕES!$K:$K,E114,REQUISIÇÕES!$G:$G,D114)</f>
        <v>0</v>
      </c>
    </row>
    <row r="115" spans="1:17" ht="15.75" x14ac:dyDescent="0.25">
      <c r="A115" s="44">
        <v>42590</v>
      </c>
      <c r="B115" s="46">
        <v>0.57291666666666663</v>
      </c>
      <c r="C115" s="21">
        <v>235</v>
      </c>
      <c r="D115" s="22">
        <f>VLOOKUP(C115,'BD MAT.'!$E:$F,2,0)</f>
        <v>524</v>
      </c>
      <c r="E115" s="1">
        <v>140211</v>
      </c>
      <c r="F115" s="1" t="str">
        <f>IFERROR(VLOOKUP(E115,'BD MAT.'!$A:$B,2,0),"")</f>
        <v>SAE 10W30 PLUS (COLHEDORA NOVA)</v>
      </c>
      <c r="G115" s="22" t="str">
        <f>VLOOKUP(C115,'BD MAT.'!$E:$G,3,0)</f>
        <v>PB</v>
      </c>
      <c r="H115" s="47">
        <v>250</v>
      </c>
      <c r="I115" s="73">
        <f>SUMIFS(REQUISIÇÕES!$H:$H,REQUISIÇÕES!$F:$F,Tabela1[[#This Row],[CÓDIGO PRODU]],REQUISIÇÕES!$E:$E,Tabela1[[#This Row],[DEPTO]])</f>
        <v>600</v>
      </c>
      <c r="J115" s="51">
        <f t="shared" si="9"/>
        <v>850</v>
      </c>
      <c r="K115" s="22">
        <f>SUMIFS('lançamento cubo CPP'!$C:$C,'lançamento cubo CPP'!$B:$B,Tabela1[[#This Row],[CÓDIGO PRODU]],'lançamento cubo CPP'!$A:$A,Tabela1[[#This Row],[COMBOIO]])</f>
        <v>0</v>
      </c>
      <c r="L115" s="22">
        <f t="shared" si="10"/>
        <v>850</v>
      </c>
      <c r="M115" s="39"/>
      <c r="N115" s="40"/>
      <c r="O115" s="41"/>
      <c r="P115" s="22">
        <f t="shared" si="11"/>
        <v>-850</v>
      </c>
      <c r="Q115" s="50">
        <f>SUMIFS(REQUISIÇÕES!$N:$N,REQUISIÇÕES!$K:$K,E115,REQUISIÇÕES!$G:$G,D115)</f>
        <v>0</v>
      </c>
    </row>
    <row r="116" spans="1:17" ht="15.75" x14ac:dyDescent="0.25">
      <c r="A116" s="44">
        <v>42590</v>
      </c>
      <c r="B116" s="46">
        <v>0.57291666666666663</v>
      </c>
      <c r="C116" s="21">
        <v>235</v>
      </c>
      <c r="D116" s="22">
        <f>VLOOKUP(C116,'BD MAT.'!$E:$F,2,0)</f>
        <v>524</v>
      </c>
      <c r="E116" s="1">
        <v>15692</v>
      </c>
      <c r="F116" s="1" t="str">
        <f>IFERROR(VLOOKUP(E116,'BD MAT.'!$A:$B,2,0),"")</f>
        <v>OLEO LUBRIF SAE 15W40 API CJ-4S/M</v>
      </c>
      <c r="G116" s="22" t="str">
        <f>VLOOKUP(C116,'BD MAT.'!$E:$G,3,0)</f>
        <v>PB</v>
      </c>
      <c r="H116" s="47">
        <v>140</v>
      </c>
      <c r="I116" s="73">
        <f>SUMIFS(REQUISIÇÕES!$H:$H,REQUISIÇÕES!$F:$F,Tabela1[[#This Row],[CÓDIGO PRODU]],REQUISIÇÕES!$E:$E,Tabela1[[#This Row],[DEPTO]])</f>
        <v>180</v>
      </c>
      <c r="J116" s="51">
        <f t="shared" si="9"/>
        <v>320</v>
      </c>
      <c r="K116" s="22">
        <f>SUMIFS('lançamento cubo CPP'!$C:$C,'lançamento cubo CPP'!$B:$B,Tabela1[[#This Row],[CÓDIGO PRODU]],'lançamento cubo CPP'!$A:$A,Tabela1[[#This Row],[COMBOIO]])</f>
        <v>0</v>
      </c>
      <c r="L116" s="22">
        <f t="shared" si="10"/>
        <v>320</v>
      </c>
      <c r="M116" s="39"/>
      <c r="N116" s="40"/>
      <c r="O116" s="41"/>
      <c r="P116" s="22">
        <f t="shared" si="11"/>
        <v>-320</v>
      </c>
      <c r="Q116" s="50">
        <f>SUMIFS(REQUISIÇÕES!$N:$N,REQUISIÇÕES!$K:$K,E116,REQUISIÇÕES!$G:$G,D116)</f>
        <v>0</v>
      </c>
    </row>
    <row r="117" spans="1:17" ht="15.75" x14ac:dyDescent="0.25">
      <c r="A117" s="44">
        <v>42590</v>
      </c>
      <c r="B117" s="46">
        <v>0.57291666666666663</v>
      </c>
      <c r="C117" s="21">
        <v>235</v>
      </c>
      <c r="D117" s="22">
        <f>VLOOKUP(C117,'BD MAT.'!$E:$F,2,0)</f>
        <v>524</v>
      </c>
      <c r="E117" s="1">
        <v>50717</v>
      </c>
      <c r="F117" s="1" t="str">
        <f>IFERROR(VLOOKUP(E117,'BD MAT.'!$A:$B,2,0),"")</f>
        <v>OLEO LUBRIF SAE 85W140 API GL-5 TB 200L</v>
      </c>
      <c r="G117" s="22" t="str">
        <f>VLOOKUP(C117,'BD MAT.'!$E:$G,3,0)</f>
        <v>PB</v>
      </c>
      <c r="H117" s="47">
        <v>170</v>
      </c>
      <c r="I117" s="73">
        <f>SUMIFS(REQUISIÇÕES!$H:$H,REQUISIÇÕES!$F:$F,Tabela1[[#This Row],[CÓDIGO PRODU]],REQUISIÇÕES!$E:$E,Tabela1[[#This Row],[DEPTO]])</f>
        <v>0</v>
      </c>
      <c r="J117" s="51">
        <f t="shared" si="9"/>
        <v>170</v>
      </c>
      <c r="K117" s="22">
        <f>SUMIFS('lançamento cubo CPP'!$C:$C,'lançamento cubo CPP'!$B:$B,Tabela1[[#This Row],[CÓDIGO PRODU]],'lançamento cubo CPP'!$A:$A,Tabela1[[#This Row],[COMBOIO]])</f>
        <v>0</v>
      </c>
      <c r="L117" s="22">
        <f t="shared" si="10"/>
        <v>170</v>
      </c>
      <c r="M117" s="39"/>
      <c r="N117" s="40"/>
      <c r="O117" s="41"/>
      <c r="P117" s="22">
        <f t="shared" si="11"/>
        <v>-170</v>
      </c>
      <c r="Q117" s="50">
        <f>SUMIFS(REQUISIÇÕES!$N:$N,REQUISIÇÕES!$K:$K,E117,REQUISIÇÕES!$G:$G,D117)</f>
        <v>0</v>
      </c>
    </row>
    <row r="118" spans="1:17" ht="15.75" x14ac:dyDescent="0.25">
      <c r="A118" s="44">
        <v>42590</v>
      </c>
      <c r="B118" s="46">
        <v>0.57291666666666663</v>
      </c>
      <c r="C118" s="21">
        <v>235</v>
      </c>
      <c r="D118" s="22">
        <f>VLOOKUP(C118,'BD MAT.'!$E:$F,2,0)</f>
        <v>524</v>
      </c>
      <c r="E118" s="1">
        <v>2025</v>
      </c>
      <c r="F118" s="1" t="str">
        <f>IFERROR(VLOOKUP(E118,'BD MAT.'!$A:$B,2,0),"")</f>
        <v>OLEO LUBRIF ISO 68 DIN 51524 HLP TB 200L</v>
      </c>
      <c r="G118" s="22" t="str">
        <f>VLOOKUP(C118,'BD MAT.'!$E:$G,3,0)</f>
        <v>PB</v>
      </c>
      <c r="H118" s="47">
        <v>250</v>
      </c>
      <c r="I118" s="73">
        <f>SUMIFS(REQUISIÇÕES!$H:$H,REQUISIÇÕES!$F:$F,Tabela1[[#This Row],[CÓDIGO PRODU]],REQUISIÇÕES!$E:$E,Tabela1[[#This Row],[DEPTO]])</f>
        <v>0</v>
      </c>
      <c r="J118" s="51">
        <f t="shared" si="9"/>
        <v>250</v>
      </c>
      <c r="K118" s="22">
        <f>SUMIFS('lançamento cubo CPP'!$C:$C,'lançamento cubo CPP'!$B:$B,Tabela1[[#This Row],[CÓDIGO PRODU]],'lançamento cubo CPP'!$A:$A,Tabela1[[#This Row],[COMBOIO]])</f>
        <v>0</v>
      </c>
      <c r="L118" s="22">
        <f t="shared" si="10"/>
        <v>250</v>
      </c>
      <c r="M118" s="39"/>
      <c r="N118" s="40"/>
      <c r="O118" s="41"/>
      <c r="P118" s="22">
        <f t="shared" si="11"/>
        <v>-250</v>
      </c>
      <c r="Q118" s="50">
        <f>SUMIFS(REQUISIÇÕES!$N:$N,REQUISIÇÕES!$K:$K,E118,REQUISIÇÕES!$G:$G,D118)</f>
        <v>0</v>
      </c>
    </row>
    <row r="119" spans="1:17" ht="15.75" x14ac:dyDescent="0.25">
      <c r="A119" s="44">
        <v>42590</v>
      </c>
      <c r="B119" s="46">
        <v>0.57291666666666663</v>
      </c>
      <c r="C119" s="21">
        <v>235</v>
      </c>
      <c r="D119" s="22">
        <f>VLOOKUP(C119,'BD MAT.'!$E:$F,2,0)</f>
        <v>524</v>
      </c>
      <c r="E119" s="1">
        <v>54213</v>
      </c>
      <c r="F119" s="1" t="str">
        <f>IFERROR(VLOOKUP(E119,'BD MAT.'!$A:$B,2,0),"")</f>
        <v>OLEO LUBR SAE 10W30 MULT G NH410B</v>
      </c>
      <c r="G119" s="22" t="str">
        <f>VLOOKUP(C119,'BD MAT.'!$E:$G,3,0)</f>
        <v>PB</v>
      </c>
      <c r="H119" s="47">
        <v>50</v>
      </c>
      <c r="I119" s="73">
        <f>SUMIFS(REQUISIÇÕES!$H:$H,REQUISIÇÕES!$F:$F,Tabela1[[#This Row],[CÓDIGO PRODU]],REQUISIÇÕES!$E:$E,Tabela1[[#This Row],[DEPTO]])</f>
        <v>200</v>
      </c>
      <c r="J119" s="51">
        <f>H119+I119</f>
        <v>250</v>
      </c>
      <c r="K119" s="22">
        <f>SUMIFS('lançamento cubo CPP'!$C:$C,'lançamento cubo CPP'!$B:$B,Tabela1[[#This Row],[CÓDIGO PRODU]],'lançamento cubo CPP'!$A:$A,Tabela1[[#This Row],[COMBOIO]])</f>
        <v>0</v>
      </c>
      <c r="L119" s="22">
        <f>J119-K119</f>
        <v>250</v>
      </c>
      <c r="M119" s="39"/>
      <c r="N119" s="40"/>
      <c r="O119" s="41"/>
      <c r="P119" s="22">
        <f>O119-L119</f>
        <v>-250</v>
      </c>
      <c r="Q119" s="50">
        <f>SUMIFS(REQUISIÇÕES!$N:$N,REQUISIÇÕES!$K:$K,E119,REQUISIÇÕES!$G:$G,D119)</f>
        <v>0</v>
      </c>
    </row>
    <row r="120" spans="1:17" ht="15.75" x14ac:dyDescent="0.25">
      <c r="A120" s="44">
        <v>42590</v>
      </c>
      <c r="B120" s="46">
        <v>0.3125</v>
      </c>
      <c r="C120" s="21">
        <v>229</v>
      </c>
      <c r="D120" s="22">
        <f>VLOOKUP(C120,'BD MAT.'!$E:$F,2,0)</f>
        <v>525</v>
      </c>
      <c r="E120" s="21">
        <v>107124</v>
      </c>
      <c r="F120" s="21" t="str">
        <f>IFERROR(VLOOKUP(E120,'BD MAT.'!$A:$B,2,0),"")</f>
        <v>GRAXA LUBRIF COMPLEXO LITIO NLGI-2 170KG</v>
      </c>
      <c r="G120" s="23" t="str">
        <f>VLOOKUP(C120,'BD MAT.'!$E:$G,3,0)</f>
        <v>PB</v>
      </c>
      <c r="H120" s="48">
        <v>140</v>
      </c>
      <c r="I120" s="73">
        <f>SUMIFS(REQUISIÇÕES!$H:$H,REQUISIÇÕES!$F:$F,Tabela1[[#This Row],[CÓDIGO PRODU]],REQUISIÇÕES!$E:$E,Tabela1[[#This Row],[DEPTO]])</f>
        <v>0</v>
      </c>
      <c r="J120" s="52">
        <f t="shared" si="9"/>
        <v>140</v>
      </c>
      <c r="K120" s="23">
        <f>SUMIFS('lançamento cubo CPP'!$C:$C,'lançamento cubo CPP'!$B:$B,Tabela1[[#This Row],[CÓDIGO PRODU]],'lançamento cubo CPP'!$A:$A,Tabela1[[#This Row],[COMBOIO]])</f>
        <v>0</v>
      </c>
      <c r="L120" s="23">
        <f t="shared" si="10"/>
        <v>140</v>
      </c>
      <c r="M120" s="39"/>
      <c r="N120" s="42"/>
      <c r="O120" s="43"/>
      <c r="P120" s="22">
        <f t="shared" si="11"/>
        <v>-140</v>
      </c>
      <c r="Q120" s="50">
        <f>SUMIFS(REQUISIÇÕES!$N:$N,REQUISIÇÕES!$K:$K,E120,REQUISIÇÕES!$G:$G,D120)</f>
        <v>0</v>
      </c>
    </row>
    <row r="121" spans="1:17" ht="15.75" x14ac:dyDescent="0.25">
      <c r="A121" s="44">
        <v>42590</v>
      </c>
      <c r="B121" s="46">
        <v>0.3125</v>
      </c>
      <c r="C121" s="21">
        <v>229</v>
      </c>
      <c r="D121" s="22">
        <f>VLOOKUP(C121,'BD MAT.'!$E:$F,2,0)</f>
        <v>525</v>
      </c>
      <c r="E121" s="1">
        <v>2025</v>
      </c>
      <c r="F121" s="1" t="str">
        <f>IFERROR(VLOOKUP(E121,'BD MAT.'!$A:$B,2,0),"")</f>
        <v>OLEO LUBRIF ISO 68 DIN 51524 HLP TB 200L</v>
      </c>
      <c r="G121" s="22" t="str">
        <f>VLOOKUP(C121,'BD MAT.'!$E:$G,3,0)</f>
        <v>PB</v>
      </c>
      <c r="H121" s="47">
        <v>40</v>
      </c>
      <c r="I121" s="73">
        <f>SUMIFS(REQUISIÇÕES!$H:$H,REQUISIÇÕES!$F:$F,Tabela1[[#This Row],[CÓDIGO PRODU]],REQUISIÇÕES!$E:$E,Tabela1[[#This Row],[DEPTO]])</f>
        <v>200</v>
      </c>
      <c r="J121" s="51">
        <f t="shared" si="9"/>
        <v>240</v>
      </c>
      <c r="K121" s="22">
        <f>SUMIFS('lançamento cubo CPP'!$C:$C,'lançamento cubo CPP'!$B:$B,Tabela1[[#This Row],[CÓDIGO PRODU]],'lançamento cubo CPP'!$A:$A,Tabela1[[#This Row],[COMBOIO]])</f>
        <v>0</v>
      </c>
      <c r="L121" s="22">
        <f t="shared" si="10"/>
        <v>240</v>
      </c>
      <c r="M121" s="39"/>
      <c r="N121" s="40"/>
      <c r="O121" s="41"/>
      <c r="P121" s="22">
        <f t="shared" si="11"/>
        <v>-240</v>
      </c>
      <c r="Q121" s="50">
        <f>SUMIFS(REQUISIÇÕES!$N:$N,REQUISIÇÕES!$K:$K,E121,REQUISIÇÕES!$G:$G,D121)</f>
        <v>0</v>
      </c>
    </row>
    <row r="122" spans="1:17" ht="15.75" x14ac:dyDescent="0.25">
      <c r="A122" s="44">
        <v>42590</v>
      </c>
      <c r="B122" s="46">
        <v>0.3125</v>
      </c>
      <c r="C122" s="21">
        <v>229</v>
      </c>
      <c r="D122" s="22">
        <f>VLOOKUP(C122,'BD MAT.'!$E:$F,2,0)</f>
        <v>525</v>
      </c>
      <c r="E122" s="1">
        <v>15692</v>
      </c>
      <c r="F122" s="1" t="str">
        <f>IFERROR(VLOOKUP(E122,'BD MAT.'!$A:$B,2,0),"")</f>
        <v>OLEO LUBRIF SAE 15W40 API CJ-4S/M</v>
      </c>
      <c r="G122" s="22" t="str">
        <f>VLOOKUP(C122,'BD MAT.'!$E:$G,3,0)</f>
        <v>PB</v>
      </c>
      <c r="H122" s="47">
        <v>225</v>
      </c>
      <c r="I122" s="73">
        <f>SUMIFS(REQUISIÇÕES!$H:$H,REQUISIÇÕES!$F:$F,Tabela1[[#This Row],[CÓDIGO PRODU]],REQUISIÇÕES!$E:$E,Tabela1[[#This Row],[DEPTO]])</f>
        <v>470</v>
      </c>
      <c r="J122" s="51">
        <f t="shared" si="9"/>
        <v>695</v>
      </c>
      <c r="K122" s="22">
        <f>SUMIFS('lançamento cubo CPP'!$C:$C,'lançamento cubo CPP'!$B:$B,Tabela1[[#This Row],[CÓDIGO PRODU]],'lançamento cubo CPP'!$A:$A,Tabela1[[#This Row],[COMBOIO]])</f>
        <v>0</v>
      </c>
      <c r="L122" s="22">
        <f t="shared" si="10"/>
        <v>695</v>
      </c>
      <c r="M122" s="39"/>
      <c r="N122" s="40"/>
      <c r="O122" s="41"/>
      <c r="P122" s="22">
        <f t="shared" si="11"/>
        <v>-695</v>
      </c>
      <c r="Q122" s="50">
        <f>SUMIFS(REQUISIÇÕES!$N:$N,REQUISIÇÕES!$K:$K,E122,REQUISIÇÕES!$G:$G,D122)</f>
        <v>0</v>
      </c>
    </row>
    <row r="123" spans="1:17" ht="15.75" x14ac:dyDescent="0.25">
      <c r="A123" s="44">
        <v>42590</v>
      </c>
      <c r="B123" s="46">
        <v>0.3125</v>
      </c>
      <c r="C123" s="21">
        <v>229</v>
      </c>
      <c r="D123" s="22">
        <f>VLOOKUP(C123,'BD MAT.'!$E:$F,2,0)</f>
        <v>525</v>
      </c>
      <c r="E123" s="1">
        <v>54213</v>
      </c>
      <c r="F123" s="1" t="str">
        <f>IFERROR(VLOOKUP(E123,'BD MAT.'!$A:$B,2,0),"")</f>
        <v>OLEO LUBR SAE 10W30 MULT G NH410B</v>
      </c>
      <c r="G123" s="22" t="str">
        <f>VLOOKUP(C123,'BD MAT.'!$E:$G,3,0)</f>
        <v>PB</v>
      </c>
      <c r="H123" s="47">
        <v>410</v>
      </c>
      <c r="I123" s="73">
        <f>SUMIFS(REQUISIÇÕES!$H:$H,REQUISIÇÕES!$F:$F,Tabela1[[#This Row],[CÓDIGO PRODU]],REQUISIÇÕES!$E:$E,Tabela1[[#This Row],[DEPTO]])</f>
        <v>0</v>
      </c>
      <c r="J123" s="51">
        <f t="shared" si="9"/>
        <v>410</v>
      </c>
      <c r="K123" s="22">
        <f>SUMIFS('lançamento cubo CPP'!$C:$C,'lançamento cubo CPP'!$B:$B,Tabela1[[#This Row],[CÓDIGO PRODU]],'lançamento cubo CPP'!$A:$A,Tabela1[[#This Row],[COMBOIO]])</f>
        <v>0</v>
      </c>
      <c r="L123" s="22">
        <f t="shared" si="10"/>
        <v>410</v>
      </c>
      <c r="M123" s="39"/>
      <c r="N123" s="40"/>
      <c r="O123" s="41"/>
      <c r="P123" s="22">
        <f t="shared" si="11"/>
        <v>-410</v>
      </c>
      <c r="Q123" s="50">
        <f>SUMIFS(REQUISIÇÕES!$N:$N,REQUISIÇÕES!$K:$K,E123,REQUISIÇÕES!$G:$G,D123)</f>
        <v>0</v>
      </c>
    </row>
    <row r="124" spans="1:17" ht="15.75" x14ac:dyDescent="0.25">
      <c r="A124" s="44">
        <v>42590</v>
      </c>
      <c r="B124" s="46">
        <v>0.3125</v>
      </c>
      <c r="C124" s="21">
        <v>229</v>
      </c>
      <c r="D124" s="22">
        <f>VLOOKUP(C124,'BD MAT.'!$E:$F,2,0)</f>
        <v>525</v>
      </c>
      <c r="E124" s="1">
        <v>50717</v>
      </c>
      <c r="F124" s="1" t="str">
        <f>IFERROR(VLOOKUP(E124,'BD MAT.'!$A:$B,2,0),"")</f>
        <v>OLEO LUBRIF SAE 85W140 API GL-5 TB 200L</v>
      </c>
      <c r="G124" s="22" t="str">
        <f>VLOOKUP(C124,'BD MAT.'!$E:$G,3,0)</f>
        <v>PB</v>
      </c>
      <c r="H124" s="47">
        <v>35</v>
      </c>
      <c r="I124" s="73">
        <f>SUMIFS(REQUISIÇÕES!$H:$H,REQUISIÇÕES!$F:$F,Tabela1[[#This Row],[CÓDIGO PRODU]],REQUISIÇÕES!$E:$E,Tabela1[[#This Row],[DEPTO]])</f>
        <v>0</v>
      </c>
      <c r="J124" s="51">
        <f t="shared" si="9"/>
        <v>35</v>
      </c>
      <c r="K124" s="22">
        <f>SUMIFS('lançamento cubo CPP'!$C:$C,'lançamento cubo CPP'!$B:$B,Tabela1[[#This Row],[CÓDIGO PRODU]],'lançamento cubo CPP'!$A:$A,Tabela1[[#This Row],[COMBOIO]])</f>
        <v>0</v>
      </c>
      <c r="L124" s="22">
        <f t="shared" si="10"/>
        <v>35</v>
      </c>
      <c r="M124" s="39"/>
      <c r="N124" s="40"/>
      <c r="O124" s="41"/>
      <c r="P124" s="22">
        <f t="shared" si="11"/>
        <v>-35</v>
      </c>
      <c r="Q124" s="50">
        <f>SUMIFS(REQUISIÇÕES!$N:$N,REQUISIÇÕES!$K:$K,E124,REQUISIÇÕES!$G:$G,D124)</f>
        <v>0</v>
      </c>
    </row>
    <row r="125" spans="1:17" ht="15.75" x14ac:dyDescent="0.25">
      <c r="A125" s="44">
        <v>42590</v>
      </c>
      <c r="B125" s="46">
        <v>0.3263888888888889</v>
      </c>
      <c r="C125" s="21">
        <v>236</v>
      </c>
      <c r="D125" s="22">
        <f>VLOOKUP(C125,'BD MAT.'!$E:$F,2,0)</f>
        <v>533</v>
      </c>
      <c r="E125" s="21">
        <v>54213</v>
      </c>
      <c r="F125" s="21" t="str">
        <f>IFERROR(VLOOKUP(E125,'BD MAT.'!$A:$B,2,0),"")</f>
        <v>OLEO LUBR SAE 10W30 MULT G NH410B</v>
      </c>
      <c r="G125" s="23" t="str">
        <f>VLOOKUP(C125,'BD MAT.'!$E:$G,3,0)</f>
        <v>PB</v>
      </c>
      <c r="H125" s="48">
        <v>115</v>
      </c>
      <c r="I125" s="73">
        <f>SUMIFS(REQUISIÇÕES!$H:$H,REQUISIÇÕES!$F:$F,Tabela1[[#This Row],[CÓDIGO PRODU]],REQUISIÇÕES!$E:$E,Tabela1[[#This Row],[DEPTO]])</f>
        <v>200</v>
      </c>
      <c r="J125" s="52">
        <f t="shared" si="9"/>
        <v>315</v>
      </c>
      <c r="K125" s="23">
        <f>SUMIFS('lançamento cubo CPP'!$C:$C,'lançamento cubo CPP'!$B:$B,Tabela1[[#This Row],[CÓDIGO PRODU]],'lançamento cubo CPP'!$A:$A,Tabela1[[#This Row],[COMBOIO]])</f>
        <v>0</v>
      </c>
      <c r="L125" s="23">
        <f t="shared" si="10"/>
        <v>315</v>
      </c>
      <c r="M125" s="39"/>
      <c r="N125" s="42"/>
      <c r="O125" s="43"/>
      <c r="P125" s="22">
        <f t="shared" si="11"/>
        <v>-315</v>
      </c>
      <c r="Q125" s="50">
        <f>SUMIFS(REQUISIÇÕES!$N:$N,REQUISIÇÕES!$K:$K,E125,REQUISIÇÕES!$G:$G,D125)</f>
        <v>0</v>
      </c>
    </row>
    <row r="126" spans="1:17" ht="15.75" x14ac:dyDescent="0.25">
      <c r="A126" s="44">
        <v>42590</v>
      </c>
      <c r="B126" s="46">
        <v>0.3263888888888889</v>
      </c>
      <c r="C126" s="21">
        <v>236</v>
      </c>
      <c r="D126" s="22">
        <f>VLOOKUP(C126,'BD MAT.'!$E:$F,2,0)</f>
        <v>533</v>
      </c>
      <c r="E126" s="1">
        <v>15699</v>
      </c>
      <c r="F126" s="1" t="str">
        <f>IFERROR(VLOOKUP(E126,'BD MAT.'!$A:$B,2,0),"")</f>
        <v>OLEO DE TRANSMISSAO SAE 50 9X8530 TO-4</v>
      </c>
      <c r="G126" s="22" t="str">
        <f>VLOOKUP(C126,'BD MAT.'!$E:$G,3,0)</f>
        <v>PB</v>
      </c>
      <c r="H126" s="47">
        <v>215</v>
      </c>
      <c r="I126" s="73">
        <f>SUMIFS(REQUISIÇÕES!$H:$H,REQUISIÇÕES!$F:$F,Tabela1[[#This Row],[CÓDIGO PRODU]],REQUISIÇÕES!$E:$E,Tabela1[[#This Row],[DEPTO]])</f>
        <v>0</v>
      </c>
      <c r="J126" s="51">
        <f t="shared" si="9"/>
        <v>215</v>
      </c>
      <c r="K126" s="22">
        <f>SUMIFS('lançamento cubo CPP'!$C:$C,'lançamento cubo CPP'!$B:$B,Tabela1[[#This Row],[CÓDIGO PRODU]],'lançamento cubo CPP'!$A:$A,Tabela1[[#This Row],[COMBOIO]])</f>
        <v>0</v>
      </c>
      <c r="L126" s="22">
        <f t="shared" si="10"/>
        <v>215</v>
      </c>
      <c r="M126" s="39"/>
      <c r="N126" s="40"/>
      <c r="O126" s="41"/>
      <c r="P126" s="22">
        <f t="shared" si="11"/>
        <v>-215</v>
      </c>
      <c r="Q126" s="50">
        <f>SUMIFS(REQUISIÇÕES!$N:$N,REQUISIÇÕES!$K:$K,E126,REQUISIÇÕES!$G:$G,D126)</f>
        <v>0</v>
      </c>
    </row>
    <row r="127" spans="1:17" ht="15.75" x14ac:dyDescent="0.25">
      <c r="A127" s="44">
        <v>42590</v>
      </c>
      <c r="B127" s="46">
        <v>0.3263888888888889</v>
      </c>
      <c r="C127" s="21">
        <v>236</v>
      </c>
      <c r="D127" s="22">
        <f>VLOOKUP(C127,'BD MAT.'!$E:$F,2,0)</f>
        <v>533</v>
      </c>
      <c r="E127" s="1">
        <v>2025</v>
      </c>
      <c r="F127" s="1" t="str">
        <f>IFERROR(VLOOKUP(E127,'BD MAT.'!$A:$B,2,0),"")</f>
        <v>OLEO LUBRIF ISO 68 DIN 51524 HLP TB 200L</v>
      </c>
      <c r="G127" s="22" t="str">
        <f>VLOOKUP(C127,'BD MAT.'!$E:$G,3,0)</f>
        <v>PB</v>
      </c>
      <c r="H127" s="47">
        <v>65</v>
      </c>
      <c r="I127" s="73">
        <f>SUMIFS(REQUISIÇÕES!$H:$H,REQUISIÇÕES!$F:$F,Tabela1[[#This Row],[CÓDIGO PRODU]],REQUISIÇÕES!$E:$E,Tabela1[[#This Row],[DEPTO]])</f>
        <v>200</v>
      </c>
      <c r="J127" s="51">
        <f t="shared" si="9"/>
        <v>265</v>
      </c>
      <c r="K127" s="22">
        <f>SUMIFS('lançamento cubo CPP'!$C:$C,'lançamento cubo CPP'!$B:$B,Tabela1[[#This Row],[CÓDIGO PRODU]],'lançamento cubo CPP'!$A:$A,Tabela1[[#This Row],[COMBOIO]])</f>
        <v>0</v>
      </c>
      <c r="L127" s="22">
        <f t="shared" si="10"/>
        <v>265</v>
      </c>
      <c r="M127" s="39"/>
      <c r="N127" s="40"/>
      <c r="O127" s="41"/>
      <c r="P127" s="22">
        <f t="shared" si="11"/>
        <v>-265</v>
      </c>
      <c r="Q127" s="50">
        <f>SUMIFS(REQUISIÇÕES!$N:$N,REQUISIÇÕES!$K:$K,E127,REQUISIÇÕES!$G:$G,D127)</f>
        <v>0</v>
      </c>
    </row>
    <row r="128" spans="1:17" ht="15.75" x14ac:dyDescent="0.25">
      <c r="A128" s="44">
        <v>42590</v>
      </c>
      <c r="B128" s="46">
        <v>0.3263888888888889</v>
      </c>
      <c r="C128" s="21">
        <v>236</v>
      </c>
      <c r="D128" s="22">
        <f>VLOOKUP(C128,'BD MAT.'!$E:$F,2,0)</f>
        <v>533</v>
      </c>
      <c r="E128" s="1">
        <v>50717</v>
      </c>
      <c r="F128" s="1" t="str">
        <f>IFERROR(VLOOKUP(E128,'BD MAT.'!$A:$B,2,0),"")</f>
        <v>OLEO LUBRIF SAE 85W140 API GL-5 TB 200L</v>
      </c>
      <c r="G128" s="22" t="str">
        <f>VLOOKUP(C128,'BD MAT.'!$E:$G,3,0)</f>
        <v>PB</v>
      </c>
      <c r="H128" s="47">
        <v>125</v>
      </c>
      <c r="I128" s="73">
        <f>SUMIFS(REQUISIÇÕES!$H:$H,REQUISIÇÕES!$F:$F,Tabela1[[#This Row],[CÓDIGO PRODU]],REQUISIÇÕES!$E:$E,Tabela1[[#This Row],[DEPTO]])</f>
        <v>0</v>
      </c>
      <c r="J128" s="51">
        <f t="shared" si="9"/>
        <v>125</v>
      </c>
      <c r="K128" s="22">
        <f>SUMIFS('lançamento cubo CPP'!$C:$C,'lançamento cubo CPP'!$B:$B,Tabela1[[#This Row],[CÓDIGO PRODU]],'lançamento cubo CPP'!$A:$A,Tabela1[[#This Row],[COMBOIO]])</f>
        <v>0</v>
      </c>
      <c r="L128" s="22">
        <f t="shared" si="10"/>
        <v>125</v>
      </c>
      <c r="M128" s="39"/>
      <c r="N128" s="40"/>
      <c r="O128" s="41"/>
      <c r="P128" s="22">
        <f t="shared" si="11"/>
        <v>-125</v>
      </c>
      <c r="Q128" s="50">
        <f>SUMIFS(REQUISIÇÕES!$N:$N,REQUISIÇÕES!$K:$K,E128,REQUISIÇÕES!$G:$G,D128)</f>
        <v>0</v>
      </c>
    </row>
    <row r="129" spans="1:17" ht="15.75" x14ac:dyDescent="0.25">
      <c r="A129" s="44">
        <v>42590</v>
      </c>
      <c r="B129" s="46">
        <v>0.3263888888888889</v>
      </c>
      <c r="C129" s="21">
        <v>236</v>
      </c>
      <c r="D129" s="22">
        <f>VLOOKUP(C129,'BD MAT.'!$E:$F,2,0)</f>
        <v>533</v>
      </c>
      <c r="E129" s="1">
        <v>15692</v>
      </c>
      <c r="F129" s="1" t="str">
        <f>IFERROR(VLOOKUP(E129,'BD MAT.'!$A:$B,2,0),"")</f>
        <v>OLEO LUBRIF SAE 15W40 API CJ-4S/M</v>
      </c>
      <c r="G129" s="22" t="str">
        <f>VLOOKUP(C129,'BD MAT.'!$E:$G,3,0)</f>
        <v>PB</v>
      </c>
      <c r="H129" s="47">
        <v>355</v>
      </c>
      <c r="I129" s="73">
        <f>SUMIFS(REQUISIÇÕES!$H:$H,REQUISIÇÕES!$F:$F,Tabela1[[#This Row],[CÓDIGO PRODU]],REQUISIÇÕES!$E:$E,Tabela1[[#This Row],[DEPTO]])</f>
        <v>0</v>
      </c>
      <c r="J129" s="51">
        <f t="shared" si="9"/>
        <v>355</v>
      </c>
      <c r="K129" s="22">
        <f>SUMIFS('lançamento cubo CPP'!$C:$C,'lançamento cubo CPP'!$B:$B,Tabela1[[#This Row],[CÓDIGO PRODU]],'lançamento cubo CPP'!$A:$A,Tabela1[[#This Row],[COMBOIO]])</f>
        <v>0</v>
      </c>
      <c r="L129" s="22">
        <f t="shared" si="10"/>
        <v>355</v>
      </c>
      <c r="M129" s="39"/>
      <c r="N129" s="40"/>
      <c r="O129" s="41"/>
      <c r="P129" s="22">
        <f t="shared" si="11"/>
        <v>-355</v>
      </c>
      <c r="Q129" s="50">
        <f>SUMIFS(REQUISIÇÕES!$N:$N,REQUISIÇÕES!$K:$K,E129,REQUISIÇÕES!$G:$G,D129)</f>
        <v>0</v>
      </c>
    </row>
    <row r="130" spans="1:17" ht="15.75" x14ac:dyDescent="0.25">
      <c r="A130" s="44">
        <v>42590</v>
      </c>
      <c r="B130" s="46">
        <v>0.3263888888888889</v>
      </c>
      <c r="C130" s="21">
        <v>236</v>
      </c>
      <c r="D130" s="22">
        <f>VLOOKUP(C130,'BD MAT.'!$E:$F,2,0)</f>
        <v>533</v>
      </c>
      <c r="E130" s="1">
        <v>107124</v>
      </c>
      <c r="F130" s="1" t="str">
        <f>IFERROR(VLOOKUP(E130,'BD MAT.'!$A:$B,2,0),"")</f>
        <v>GRAXA LUBRIF COMPLEXO LITIO NLGI-2 170KG</v>
      </c>
      <c r="G130" s="22" t="str">
        <f>VLOOKUP(C130,'BD MAT.'!$E:$G,3,0)</f>
        <v>PB</v>
      </c>
      <c r="H130" s="47">
        <v>160</v>
      </c>
      <c r="I130" s="73">
        <f>SUMIFS(REQUISIÇÕES!$H:$H,REQUISIÇÕES!$F:$F,Tabela1[[#This Row],[CÓDIGO PRODU]],REQUISIÇÕES!$E:$E,Tabela1[[#This Row],[DEPTO]])</f>
        <v>0</v>
      </c>
      <c r="J130" s="51">
        <f t="shared" si="9"/>
        <v>160</v>
      </c>
      <c r="K130" s="22">
        <f>SUMIFS('lançamento cubo CPP'!$C:$C,'lançamento cubo CPP'!$B:$B,Tabela1[[#This Row],[CÓDIGO PRODU]],'lançamento cubo CPP'!$A:$A,Tabela1[[#This Row],[COMBOIO]])</f>
        <v>0</v>
      </c>
      <c r="L130" s="22">
        <f t="shared" si="10"/>
        <v>160</v>
      </c>
      <c r="M130" s="39"/>
      <c r="N130" s="40"/>
      <c r="O130" s="41"/>
      <c r="P130" s="22">
        <f t="shared" si="11"/>
        <v>-160</v>
      </c>
      <c r="Q130" s="50">
        <f>SUMIFS(REQUISIÇÕES!$N:$N,REQUISIÇÕES!$K:$K,E130,REQUISIÇÕES!$G:$G,D130)</f>
        <v>0</v>
      </c>
    </row>
  </sheetData>
  <conditionalFormatting sqref="L3:L130">
    <cfRule type="cellIs" dxfId="24" priority="1" operator="greaterThan">
      <formula>0</formula>
    </cfRule>
    <cfRule type="cellIs" dxfId="23" priority="2" operator="lessThanOr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3:K22"/>
  <sheetViews>
    <sheetView zoomScale="130" zoomScaleNormal="130" workbookViewId="0">
      <selection activeCell="C2" sqref="C2"/>
    </sheetView>
  </sheetViews>
  <sheetFormatPr defaultRowHeight="15" x14ac:dyDescent="0.25"/>
  <cols>
    <col min="1" max="1" width="7.5703125" bestFit="1" customWidth="1"/>
    <col min="2" max="2" width="41.85546875" bestFit="1" customWidth="1"/>
    <col min="5" max="5" width="10.7109375" customWidth="1"/>
    <col min="6" max="6" width="12.85546875" style="1" customWidth="1"/>
    <col min="7" max="7" width="10.7109375" style="1" customWidth="1"/>
    <col min="9" max="9" width="9.85546875" bestFit="1" customWidth="1"/>
    <col min="10" max="10" width="15.28515625" bestFit="1" customWidth="1"/>
  </cols>
  <sheetData>
    <row r="3" spans="1:11" x14ac:dyDescent="0.25">
      <c r="A3" s="10" t="s">
        <v>16</v>
      </c>
      <c r="B3" s="11"/>
      <c r="E3" s="12" t="s">
        <v>0</v>
      </c>
      <c r="F3" s="17" t="s">
        <v>1</v>
      </c>
      <c r="G3" s="12" t="s">
        <v>17</v>
      </c>
    </row>
    <row r="4" spans="1:11" x14ac:dyDescent="0.25">
      <c r="A4" s="2">
        <v>107124</v>
      </c>
      <c r="B4" s="3" t="s">
        <v>4</v>
      </c>
      <c r="D4" s="18">
        <v>508</v>
      </c>
      <c r="E4" s="13">
        <v>233</v>
      </c>
      <c r="F4" s="18">
        <v>508</v>
      </c>
      <c r="G4" s="15" t="s">
        <v>18</v>
      </c>
      <c r="I4">
        <v>60000541</v>
      </c>
      <c r="J4" t="s">
        <v>65</v>
      </c>
      <c r="K4">
        <v>1510</v>
      </c>
    </row>
    <row r="5" spans="1:11" x14ac:dyDescent="0.25">
      <c r="A5" s="4">
        <v>15692</v>
      </c>
      <c r="B5" s="5" t="s">
        <v>5</v>
      </c>
      <c r="D5" s="19">
        <v>523</v>
      </c>
      <c r="E5" s="14">
        <v>234</v>
      </c>
      <c r="F5" s="19">
        <v>523</v>
      </c>
      <c r="G5" s="16" t="s">
        <v>18</v>
      </c>
      <c r="I5">
        <v>10010092</v>
      </c>
      <c r="J5" t="s">
        <v>66</v>
      </c>
      <c r="K5">
        <v>1210</v>
      </c>
    </row>
    <row r="6" spans="1:11" x14ac:dyDescent="0.25">
      <c r="A6" s="2">
        <v>15699</v>
      </c>
      <c r="B6" s="3" t="s">
        <v>6</v>
      </c>
      <c r="D6" s="18">
        <v>526</v>
      </c>
      <c r="E6" s="13">
        <v>239</v>
      </c>
      <c r="F6" s="18">
        <v>526</v>
      </c>
      <c r="G6" s="15" t="s">
        <v>18</v>
      </c>
      <c r="I6">
        <v>60009249</v>
      </c>
      <c r="J6" t="s">
        <v>67</v>
      </c>
      <c r="K6">
        <v>1310</v>
      </c>
    </row>
    <row r="7" spans="1:11" x14ac:dyDescent="0.25">
      <c r="A7" s="4">
        <v>169379</v>
      </c>
      <c r="B7" s="5" t="s">
        <v>7</v>
      </c>
      <c r="D7" s="19">
        <v>527</v>
      </c>
      <c r="E7" s="14">
        <v>232</v>
      </c>
      <c r="F7" s="19">
        <v>527</v>
      </c>
      <c r="G7" s="16" t="s">
        <v>18</v>
      </c>
      <c r="I7">
        <v>10050077</v>
      </c>
      <c r="J7" t="s">
        <v>78</v>
      </c>
      <c r="K7">
        <v>2567</v>
      </c>
    </row>
    <row r="8" spans="1:11" x14ac:dyDescent="0.25">
      <c r="A8" s="2">
        <v>15702</v>
      </c>
      <c r="B8" s="3" t="s">
        <v>8</v>
      </c>
      <c r="D8" s="18">
        <v>528</v>
      </c>
      <c r="E8" s="13">
        <v>230</v>
      </c>
      <c r="F8" s="18">
        <v>528</v>
      </c>
      <c r="G8" s="15" t="s">
        <v>18</v>
      </c>
      <c r="I8">
        <v>10023151</v>
      </c>
      <c r="J8" t="s">
        <v>68</v>
      </c>
      <c r="K8">
        <v>1410</v>
      </c>
    </row>
    <row r="9" spans="1:11" x14ac:dyDescent="0.25">
      <c r="A9" s="4">
        <v>86355</v>
      </c>
      <c r="B9" s="5" t="s">
        <v>9</v>
      </c>
      <c r="D9" s="19">
        <v>529</v>
      </c>
      <c r="E9" s="14">
        <v>231</v>
      </c>
      <c r="F9" s="19">
        <v>529</v>
      </c>
      <c r="G9" s="16" t="s">
        <v>18</v>
      </c>
      <c r="I9">
        <v>10023162</v>
      </c>
      <c r="J9" t="s">
        <v>69</v>
      </c>
      <c r="K9">
        <v>2308</v>
      </c>
    </row>
    <row r="10" spans="1:11" x14ac:dyDescent="0.25">
      <c r="A10" s="2">
        <v>50717</v>
      </c>
      <c r="B10" s="3" t="s">
        <v>10</v>
      </c>
      <c r="D10" s="18">
        <v>532</v>
      </c>
      <c r="E10" s="13">
        <v>129</v>
      </c>
      <c r="F10" s="18">
        <v>532</v>
      </c>
      <c r="G10" s="15" t="s">
        <v>18</v>
      </c>
      <c r="I10">
        <v>10019228</v>
      </c>
      <c r="J10" t="s">
        <v>70</v>
      </c>
      <c r="K10">
        <v>1212</v>
      </c>
    </row>
    <row r="11" spans="1:11" x14ac:dyDescent="0.25">
      <c r="A11" s="4">
        <v>54213</v>
      </c>
      <c r="B11" s="5" t="s">
        <v>11</v>
      </c>
      <c r="D11" s="19">
        <v>514</v>
      </c>
      <c r="E11" s="14">
        <v>128</v>
      </c>
      <c r="F11" s="19">
        <v>514</v>
      </c>
      <c r="G11" s="16" t="s">
        <v>19</v>
      </c>
      <c r="I11">
        <v>10010278</v>
      </c>
      <c r="J11" t="s">
        <v>71</v>
      </c>
      <c r="K11">
        <v>7427</v>
      </c>
    </row>
    <row r="12" spans="1:11" x14ac:dyDescent="0.25">
      <c r="A12" s="2">
        <v>2025</v>
      </c>
      <c r="B12" s="3" t="s">
        <v>47</v>
      </c>
      <c r="D12" s="18">
        <v>515</v>
      </c>
      <c r="E12" s="13">
        <v>224</v>
      </c>
      <c r="F12" s="18">
        <v>515</v>
      </c>
      <c r="G12" s="15" t="s">
        <v>19</v>
      </c>
      <c r="I12">
        <v>10003311</v>
      </c>
      <c r="J12" t="s">
        <v>72</v>
      </c>
      <c r="K12">
        <v>1515</v>
      </c>
    </row>
    <row r="13" spans="1:11" x14ac:dyDescent="0.25">
      <c r="A13" s="4">
        <v>15692</v>
      </c>
      <c r="B13" s="5" t="s">
        <v>5</v>
      </c>
      <c r="D13" s="19">
        <v>516</v>
      </c>
      <c r="E13" s="14">
        <v>225</v>
      </c>
      <c r="F13" s="19">
        <v>516</v>
      </c>
      <c r="G13" s="16" t="s">
        <v>19</v>
      </c>
      <c r="I13">
        <v>60010729</v>
      </c>
      <c r="J13" t="s">
        <v>73</v>
      </c>
      <c r="K13">
        <v>1616</v>
      </c>
    </row>
    <row r="14" spans="1:11" x14ac:dyDescent="0.25">
      <c r="A14" s="2">
        <v>140211</v>
      </c>
      <c r="B14" s="3" t="s">
        <v>48</v>
      </c>
      <c r="D14" s="18">
        <v>517</v>
      </c>
      <c r="E14" s="13">
        <v>226</v>
      </c>
      <c r="F14" s="18">
        <v>517</v>
      </c>
      <c r="G14" s="15" t="s">
        <v>19</v>
      </c>
      <c r="I14">
        <v>60010700</v>
      </c>
      <c r="J14" t="s">
        <v>74</v>
      </c>
      <c r="K14">
        <v>1818</v>
      </c>
    </row>
    <row r="15" spans="1:11" x14ac:dyDescent="0.25">
      <c r="A15" s="4">
        <v>239424</v>
      </c>
      <c r="B15" s="5" t="s">
        <v>12</v>
      </c>
      <c r="D15" s="19">
        <v>518</v>
      </c>
      <c r="E15" s="14">
        <v>227</v>
      </c>
      <c r="F15" s="19">
        <v>518</v>
      </c>
      <c r="G15" s="16" t="s">
        <v>19</v>
      </c>
      <c r="I15">
        <v>10023140</v>
      </c>
      <c r="J15" t="s">
        <v>75</v>
      </c>
      <c r="K15">
        <v>2121</v>
      </c>
    </row>
    <row r="16" spans="1:11" x14ac:dyDescent="0.25">
      <c r="A16" s="2">
        <v>15696</v>
      </c>
      <c r="B16" s="3" t="s">
        <v>46</v>
      </c>
      <c r="D16" s="18">
        <v>519</v>
      </c>
      <c r="E16" s="13">
        <v>228</v>
      </c>
      <c r="F16" s="18">
        <v>519</v>
      </c>
      <c r="G16" s="15" t="s">
        <v>19</v>
      </c>
      <c r="I16">
        <v>60010192</v>
      </c>
      <c r="J16" t="s">
        <v>76</v>
      </c>
      <c r="K16">
        <v>9130</v>
      </c>
    </row>
    <row r="17" spans="1:11" x14ac:dyDescent="0.25">
      <c r="A17" s="2">
        <v>130561</v>
      </c>
      <c r="B17" s="3" t="s">
        <v>22</v>
      </c>
      <c r="D17" s="19">
        <v>520</v>
      </c>
      <c r="E17" s="14">
        <v>237</v>
      </c>
      <c r="F17" s="19">
        <v>520</v>
      </c>
      <c r="G17" s="16" t="s">
        <v>19</v>
      </c>
      <c r="I17">
        <v>60011049</v>
      </c>
      <c r="J17" t="s">
        <v>77</v>
      </c>
      <c r="K17">
        <v>1010</v>
      </c>
    </row>
    <row r="18" spans="1:11" x14ac:dyDescent="0.25">
      <c r="A18" s="2">
        <v>170878</v>
      </c>
      <c r="B18" s="3" t="s">
        <v>88</v>
      </c>
      <c r="D18" s="18">
        <v>524</v>
      </c>
      <c r="E18" s="13">
        <v>235</v>
      </c>
      <c r="F18" s="18">
        <v>524</v>
      </c>
      <c r="G18" s="15" t="s">
        <v>19</v>
      </c>
      <c r="I18">
        <v>10019214</v>
      </c>
      <c r="J18" t="s">
        <v>83</v>
      </c>
      <c r="K18">
        <v>9214</v>
      </c>
    </row>
    <row r="19" spans="1:11" x14ac:dyDescent="0.25">
      <c r="A19" s="8"/>
      <c r="B19" s="9"/>
      <c r="D19" s="19">
        <v>525</v>
      </c>
      <c r="E19" s="14">
        <v>229</v>
      </c>
      <c r="F19" s="19">
        <v>525</v>
      </c>
      <c r="G19" s="16" t="s">
        <v>19</v>
      </c>
    </row>
    <row r="20" spans="1:11" x14ac:dyDescent="0.25">
      <c r="A20" s="10" t="s">
        <v>13</v>
      </c>
      <c r="B20" s="11"/>
      <c r="D20" s="18">
        <v>533</v>
      </c>
      <c r="E20" s="13">
        <v>236</v>
      </c>
      <c r="F20" s="18">
        <v>533</v>
      </c>
      <c r="G20" s="15" t="s">
        <v>19</v>
      </c>
    </row>
    <row r="21" spans="1:11" x14ac:dyDescent="0.25">
      <c r="A21" s="2">
        <v>20649</v>
      </c>
      <c r="B21" s="3" t="s">
        <v>14</v>
      </c>
      <c r="D21" s="1"/>
    </row>
    <row r="22" spans="1:11" ht="15.75" thickBot="1" x14ac:dyDescent="0.3">
      <c r="A22" s="6">
        <v>190429</v>
      </c>
      <c r="B22" s="7" t="s">
        <v>15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C17"/>
  <sheetViews>
    <sheetView workbookViewId="0">
      <selection activeCell="C8" sqref="C8"/>
    </sheetView>
  </sheetViews>
  <sheetFormatPr defaultRowHeight="15" x14ac:dyDescent="0.25"/>
  <sheetData>
    <row r="1" spans="1:3" x14ac:dyDescent="0.25">
      <c r="A1">
        <v>15692</v>
      </c>
      <c r="C1">
        <v>508</v>
      </c>
    </row>
    <row r="2" spans="1:3" x14ac:dyDescent="0.25">
      <c r="A2">
        <v>107124</v>
      </c>
      <c r="C2">
        <v>523</v>
      </c>
    </row>
    <row r="3" spans="1:3" x14ac:dyDescent="0.25">
      <c r="A3">
        <v>2025</v>
      </c>
      <c r="C3">
        <v>526</v>
      </c>
    </row>
    <row r="4" spans="1:3" x14ac:dyDescent="0.25">
      <c r="A4">
        <v>54213</v>
      </c>
      <c r="C4">
        <v>527</v>
      </c>
    </row>
    <row r="5" spans="1:3" x14ac:dyDescent="0.25">
      <c r="A5">
        <v>50717</v>
      </c>
      <c r="C5">
        <v>528</v>
      </c>
    </row>
    <row r="6" spans="1:3" x14ac:dyDescent="0.25">
      <c r="A6">
        <v>169378</v>
      </c>
      <c r="C6">
        <v>529</v>
      </c>
    </row>
    <row r="7" spans="1:3" x14ac:dyDescent="0.25">
      <c r="A7">
        <v>140211</v>
      </c>
      <c r="C7">
        <v>532</v>
      </c>
    </row>
    <row r="8" spans="1:3" x14ac:dyDescent="0.25">
      <c r="A8">
        <v>86355</v>
      </c>
      <c r="C8">
        <v>514</v>
      </c>
    </row>
    <row r="9" spans="1:3" x14ac:dyDescent="0.25">
      <c r="A9">
        <v>15702</v>
      </c>
      <c r="C9">
        <v>515</v>
      </c>
    </row>
    <row r="10" spans="1:3" x14ac:dyDescent="0.25">
      <c r="A10">
        <v>15696</v>
      </c>
      <c r="C10">
        <v>516</v>
      </c>
    </row>
    <row r="11" spans="1:3" x14ac:dyDescent="0.25">
      <c r="A11">
        <v>195360</v>
      </c>
      <c r="C11">
        <v>517</v>
      </c>
    </row>
    <row r="12" spans="1:3" x14ac:dyDescent="0.25">
      <c r="A12">
        <v>130561</v>
      </c>
      <c r="C12">
        <v>518</v>
      </c>
    </row>
    <row r="13" spans="1:3" x14ac:dyDescent="0.25">
      <c r="A13">
        <v>169379</v>
      </c>
      <c r="C13">
        <v>519</v>
      </c>
    </row>
    <row r="14" spans="1:3" x14ac:dyDescent="0.25">
      <c r="A14">
        <v>239424</v>
      </c>
      <c r="C14">
        <v>520</v>
      </c>
    </row>
    <row r="15" spans="1:3" x14ac:dyDescent="0.25">
      <c r="C15">
        <v>524</v>
      </c>
    </row>
    <row r="16" spans="1:3" x14ac:dyDescent="0.25">
      <c r="C16">
        <v>525</v>
      </c>
    </row>
    <row r="17" spans="3:3" x14ac:dyDescent="0.25">
      <c r="C17">
        <v>533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C110"/>
  <sheetViews>
    <sheetView zoomScale="130" zoomScaleNormal="130" workbookViewId="0">
      <selection activeCell="D6" sqref="D6"/>
    </sheetView>
  </sheetViews>
  <sheetFormatPr defaultRowHeight="15" x14ac:dyDescent="0.25"/>
  <cols>
    <col min="1" max="1" width="10.7109375" bestFit="1" customWidth="1"/>
    <col min="2" max="2" width="13.140625" bestFit="1" customWidth="1"/>
    <col min="3" max="3" width="11.42578125" bestFit="1" customWidth="1"/>
  </cols>
  <sheetData>
    <row r="1" spans="1:3" x14ac:dyDescent="0.25">
      <c r="A1" s="31" t="s">
        <v>23</v>
      </c>
      <c r="B1" s="32" t="s">
        <v>24</v>
      </c>
      <c r="C1" s="30" t="s">
        <v>25</v>
      </c>
    </row>
    <row r="2" spans="1:3" x14ac:dyDescent="0.25">
      <c r="A2" s="80"/>
      <c r="B2" s="81"/>
      <c r="C2" s="78"/>
    </row>
    <row r="3" spans="1:3" x14ac:dyDescent="0.25">
      <c r="A3" s="80"/>
      <c r="B3" s="81"/>
      <c r="C3" s="78"/>
    </row>
    <row r="4" spans="1:3" x14ac:dyDescent="0.25">
      <c r="A4" s="80"/>
      <c r="B4" s="81"/>
      <c r="C4" s="78"/>
    </row>
    <row r="5" spans="1:3" x14ac:dyDescent="0.25">
      <c r="A5" s="80"/>
      <c r="B5" s="81"/>
      <c r="C5" s="78"/>
    </row>
    <row r="6" spans="1:3" x14ac:dyDescent="0.25">
      <c r="A6" s="80"/>
      <c r="B6" s="81"/>
      <c r="C6" s="78"/>
    </row>
    <row r="7" spans="1:3" x14ac:dyDescent="0.25">
      <c r="A7" s="80"/>
      <c r="B7" s="81"/>
      <c r="C7" s="78"/>
    </row>
    <row r="8" spans="1:3" x14ac:dyDescent="0.25">
      <c r="A8" s="80"/>
      <c r="B8" s="81"/>
      <c r="C8" s="78"/>
    </row>
    <row r="9" spans="1:3" x14ac:dyDescent="0.25">
      <c r="A9" s="80"/>
      <c r="B9" s="81"/>
      <c r="C9" s="78"/>
    </row>
    <row r="10" spans="1:3" x14ac:dyDescent="0.25">
      <c r="A10" s="80"/>
      <c r="B10" s="81"/>
      <c r="C10" s="78"/>
    </row>
    <row r="11" spans="1:3" x14ac:dyDescent="0.25">
      <c r="A11" s="80"/>
      <c r="B11" s="81"/>
      <c r="C11" s="78"/>
    </row>
    <row r="12" spans="1:3" x14ac:dyDescent="0.25">
      <c r="A12" s="80"/>
      <c r="B12" s="81"/>
      <c r="C12" s="78"/>
    </row>
    <row r="13" spans="1:3" x14ac:dyDescent="0.25">
      <c r="A13" s="80"/>
      <c r="B13" s="81"/>
      <c r="C13" s="78"/>
    </row>
    <row r="14" spans="1:3" x14ac:dyDescent="0.25">
      <c r="A14" s="80"/>
      <c r="B14" s="81"/>
      <c r="C14" s="78"/>
    </row>
    <row r="15" spans="1:3" x14ac:dyDescent="0.25">
      <c r="A15" s="80"/>
      <c r="B15" s="81"/>
      <c r="C15" s="78"/>
    </row>
    <row r="16" spans="1:3" x14ac:dyDescent="0.25">
      <c r="A16" s="80"/>
      <c r="B16" s="81"/>
      <c r="C16" s="78"/>
    </row>
    <row r="17" spans="1:3" x14ac:dyDescent="0.25">
      <c r="A17" s="80"/>
      <c r="B17" s="81"/>
      <c r="C17" s="78"/>
    </row>
    <row r="18" spans="1:3" x14ac:dyDescent="0.25">
      <c r="A18" s="80"/>
      <c r="B18" s="81"/>
      <c r="C18" s="78"/>
    </row>
    <row r="19" spans="1:3" x14ac:dyDescent="0.25">
      <c r="A19" s="80"/>
      <c r="B19" s="81"/>
      <c r="C19" s="78"/>
    </row>
    <row r="20" spans="1:3" x14ac:dyDescent="0.25">
      <c r="A20" s="80"/>
      <c r="B20" s="81"/>
      <c r="C20" s="78"/>
    </row>
    <row r="21" spans="1:3" x14ac:dyDescent="0.25">
      <c r="A21" s="80"/>
      <c r="B21" s="81"/>
      <c r="C21" s="78"/>
    </row>
    <row r="22" spans="1:3" x14ac:dyDescent="0.25">
      <c r="A22" s="80"/>
      <c r="B22" s="81"/>
      <c r="C22" s="78"/>
    </row>
    <row r="23" spans="1:3" x14ac:dyDescent="0.25">
      <c r="A23" s="80"/>
      <c r="B23" s="81"/>
      <c r="C23" s="78"/>
    </row>
    <row r="24" spans="1:3" x14ac:dyDescent="0.25">
      <c r="A24" s="80"/>
      <c r="B24" s="81"/>
      <c r="C24" s="78"/>
    </row>
    <row r="25" spans="1:3" x14ac:dyDescent="0.25">
      <c r="A25" s="80"/>
      <c r="B25" s="81"/>
      <c r="C25" s="78"/>
    </row>
    <row r="26" spans="1:3" x14ac:dyDescent="0.25">
      <c r="A26" s="80"/>
      <c r="B26" s="81"/>
      <c r="C26" s="78"/>
    </row>
    <row r="27" spans="1:3" x14ac:dyDescent="0.25">
      <c r="A27" s="80"/>
      <c r="B27" s="81"/>
      <c r="C27" s="78"/>
    </row>
    <row r="28" spans="1:3" x14ac:dyDescent="0.25">
      <c r="A28" s="80"/>
      <c r="B28" s="81"/>
      <c r="C28" s="78"/>
    </row>
    <row r="29" spans="1:3" x14ac:dyDescent="0.25">
      <c r="A29" s="80"/>
      <c r="B29" s="81"/>
      <c r="C29" s="78"/>
    </row>
    <row r="30" spans="1:3" x14ac:dyDescent="0.25">
      <c r="A30" s="80"/>
      <c r="B30" s="81"/>
      <c r="C30" s="78"/>
    </row>
    <row r="31" spans="1:3" x14ac:dyDescent="0.25">
      <c r="A31" s="80"/>
      <c r="B31" s="81"/>
      <c r="C31" s="78"/>
    </row>
    <row r="32" spans="1:3" x14ac:dyDescent="0.25">
      <c r="A32" s="80"/>
      <c r="B32" s="81"/>
      <c r="C32" s="78"/>
    </row>
    <row r="33" spans="1:3" x14ac:dyDescent="0.25">
      <c r="A33" s="80"/>
      <c r="B33" s="81"/>
      <c r="C33" s="78"/>
    </row>
    <row r="34" spans="1:3" x14ac:dyDescent="0.25">
      <c r="A34" s="80"/>
      <c r="B34" s="81"/>
      <c r="C34" s="78"/>
    </row>
    <row r="35" spans="1:3" x14ac:dyDescent="0.25">
      <c r="A35" s="80"/>
      <c r="B35" s="81"/>
      <c r="C35" s="78"/>
    </row>
    <row r="36" spans="1:3" x14ac:dyDescent="0.25">
      <c r="A36" s="80"/>
      <c r="B36" s="81"/>
      <c r="C36" s="78"/>
    </row>
    <row r="37" spans="1:3" x14ac:dyDescent="0.25">
      <c r="A37" s="80"/>
      <c r="B37" s="81"/>
      <c r="C37" s="78"/>
    </row>
    <row r="38" spans="1:3" x14ac:dyDescent="0.25">
      <c r="A38" s="80"/>
      <c r="B38" s="81"/>
      <c r="C38" s="78"/>
    </row>
    <row r="39" spans="1:3" x14ac:dyDescent="0.25">
      <c r="A39" s="80"/>
      <c r="B39" s="81"/>
      <c r="C39" s="78"/>
    </row>
    <row r="40" spans="1:3" x14ac:dyDescent="0.25">
      <c r="A40" s="80"/>
      <c r="B40" s="81"/>
      <c r="C40" s="78"/>
    </row>
    <row r="41" spans="1:3" x14ac:dyDescent="0.25">
      <c r="A41" s="80"/>
      <c r="B41" s="81"/>
      <c r="C41" s="78"/>
    </row>
    <row r="42" spans="1:3" x14ac:dyDescent="0.25">
      <c r="A42" s="80"/>
      <c r="B42" s="81"/>
      <c r="C42" s="78"/>
    </row>
    <row r="43" spans="1:3" x14ac:dyDescent="0.25">
      <c r="A43" s="80"/>
      <c r="B43" s="81"/>
      <c r="C43" s="78"/>
    </row>
    <row r="44" spans="1:3" x14ac:dyDescent="0.25">
      <c r="A44" s="80"/>
      <c r="B44" s="81"/>
      <c r="C44" s="78"/>
    </row>
    <row r="45" spans="1:3" x14ac:dyDescent="0.25">
      <c r="A45" s="80"/>
      <c r="B45" s="81"/>
      <c r="C45" s="78"/>
    </row>
    <row r="46" spans="1:3" x14ac:dyDescent="0.25">
      <c r="A46" s="80"/>
      <c r="B46" s="81"/>
      <c r="C46" s="78"/>
    </row>
    <row r="47" spans="1:3" x14ac:dyDescent="0.25">
      <c r="A47" s="80"/>
      <c r="B47" s="81"/>
      <c r="C47" s="78"/>
    </row>
    <row r="48" spans="1:3" x14ac:dyDescent="0.25">
      <c r="A48" s="80"/>
      <c r="B48" s="81"/>
      <c r="C48" s="78"/>
    </row>
    <row r="49" spans="1:3" x14ac:dyDescent="0.25">
      <c r="A49" s="80"/>
      <c r="B49" s="81"/>
      <c r="C49" s="78"/>
    </row>
    <row r="50" spans="1:3" x14ac:dyDescent="0.25">
      <c r="A50" s="80"/>
      <c r="B50" s="81"/>
      <c r="C50" s="78"/>
    </row>
    <row r="51" spans="1:3" x14ac:dyDescent="0.25">
      <c r="A51" s="80"/>
      <c r="B51" s="81"/>
      <c r="C51" s="78"/>
    </row>
    <row r="52" spans="1:3" x14ac:dyDescent="0.25">
      <c r="A52" s="80"/>
      <c r="B52" s="81"/>
      <c r="C52" s="78"/>
    </row>
    <row r="53" spans="1:3" x14ac:dyDescent="0.25">
      <c r="A53" s="80"/>
      <c r="B53" s="81"/>
      <c r="C53" s="78"/>
    </row>
    <row r="54" spans="1:3" x14ac:dyDescent="0.25">
      <c r="A54" s="80"/>
      <c r="B54" s="81"/>
      <c r="C54" s="78"/>
    </row>
    <row r="55" spans="1:3" x14ac:dyDescent="0.25">
      <c r="A55" s="80"/>
      <c r="B55" s="81"/>
      <c r="C55" s="78"/>
    </row>
    <row r="56" spans="1:3" x14ac:dyDescent="0.25">
      <c r="A56" s="80"/>
      <c r="B56" s="81"/>
      <c r="C56" s="78"/>
    </row>
    <row r="57" spans="1:3" x14ac:dyDescent="0.25">
      <c r="A57" s="80"/>
      <c r="B57" s="81"/>
      <c r="C57" s="78"/>
    </row>
    <row r="58" spans="1:3" x14ac:dyDescent="0.25">
      <c r="A58" s="80"/>
      <c r="B58" s="81"/>
      <c r="C58" s="78"/>
    </row>
    <row r="59" spans="1:3" x14ac:dyDescent="0.25">
      <c r="A59" s="80"/>
      <c r="B59" s="81"/>
      <c r="C59" s="78"/>
    </row>
    <row r="60" spans="1:3" x14ac:dyDescent="0.25">
      <c r="A60" s="80"/>
      <c r="B60" s="81"/>
      <c r="C60" s="78"/>
    </row>
    <row r="61" spans="1:3" x14ac:dyDescent="0.25">
      <c r="A61" s="80"/>
      <c r="B61" s="81"/>
      <c r="C61" s="78"/>
    </row>
    <row r="62" spans="1:3" x14ac:dyDescent="0.25">
      <c r="A62" s="80"/>
      <c r="B62" s="81"/>
      <c r="C62" s="78"/>
    </row>
    <row r="63" spans="1:3" x14ac:dyDescent="0.25">
      <c r="A63" s="80"/>
      <c r="B63" s="81"/>
      <c r="C63" s="78"/>
    </row>
    <row r="64" spans="1:3" x14ac:dyDescent="0.25">
      <c r="A64" s="80"/>
      <c r="B64" s="81"/>
      <c r="C64" s="78"/>
    </row>
    <row r="65" spans="1:3" x14ac:dyDescent="0.25">
      <c r="A65" s="80"/>
      <c r="B65" s="81"/>
      <c r="C65" s="78"/>
    </row>
    <row r="66" spans="1:3" x14ac:dyDescent="0.25">
      <c r="A66" s="80"/>
      <c r="B66" s="81"/>
      <c r="C66" s="78"/>
    </row>
    <row r="67" spans="1:3" x14ac:dyDescent="0.25">
      <c r="A67" s="80"/>
      <c r="B67" s="81"/>
      <c r="C67" s="78"/>
    </row>
    <row r="68" spans="1:3" x14ac:dyDescent="0.25">
      <c r="A68" s="80"/>
      <c r="B68" s="81"/>
      <c r="C68" s="78"/>
    </row>
    <row r="69" spans="1:3" x14ac:dyDescent="0.25">
      <c r="A69" s="80"/>
      <c r="B69" s="81"/>
      <c r="C69" s="78"/>
    </row>
    <row r="70" spans="1:3" x14ac:dyDescent="0.25">
      <c r="A70" s="80"/>
      <c r="B70" s="81"/>
      <c r="C70" s="78"/>
    </row>
    <row r="71" spans="1:3" x14ac:dyDescent="0.25">
      <c r="A71" s="80"/>
      <c r="B71" s="81"/>
      <c r="C71" s="78"/>
    </row>
    <row r="72" spans="1:3" x14ac:dyDescent="0.25">
      <c r="A72" s="80"/>
      <c r="B72" s="81"/>
      <c r="C72" s="78"/>
    </row>
    <row r="73" spans="1:3" x14ac:dyDescent="0.25">
      <c r="A73" s="80"/>
      <c r="B73" s="81"/>
      <c r="C73" s="78"/>
    </row>
    <row r="74" spans="1:3" x14ac:dyDescent="0.25">
      <c r="A74" s="80"/>
      <c r="B74" s="81"/>
      <c r="C74" s="78"/>
    </row>
    <row r="75" spans="1:3" x14ac:dyDescent="0.25">
      <c r="A75" s="80"/>
      <c r="B75" s="81"/>
      <c r="C75" s="78"/>
    </row>
    <row r="76" spans="1:3" x14ac:dyDescent="0.25">
      <c r="A76" s="80"/>
      <c r="B76" s="81"/>
      <c r="C76" s="78"/>
    </row>
    <row r="77" spans="1:3" x14ac:dyDescent="0.25">
      <c r="A77" s="80"/>
      <c r="B77" s="81"/>
      <c r="C77" s="78"/>
    </row>
    <row r="78" spans="1:3" x14ac:dyDescent="0.25">
      <c r="A78" s="80"/>
      <c r="B78" s="81"/>
      <c r="C78" s="78"/>
    </row>
    <row r="79" spans="1:3" x14ac:dyDescent="0.25">
      <c r="A79" s="80"/>
      <c r="B79" s="81"/>
      <c r="C79" s="78"/>
    </row>
    <row r="80" spans="1:3" x14ac:dyDescent="0.25">
      <c r="A80" s="80"/>
      <c r="B80" s="81"/>
      <c r="C80" s="78"/>
    </row>
    <row r="81" spans="1:3" x14ac:dyDescent="0.25">
      <c r="A81" s="80"/>
      <c r="B81" s="81"/>
      <c r="C81" s="78"/>
    </row>
    <row r="82" spans="1:3" x14ac:dyDescent="0.25">
      <c r="A82" s="80"/>
      <c r="B82" s="81"/>
      <c r="C82" s="78"/>
    </row>
    <row r="83" spans="1:3" x14ac:dyDescent="0.25">
      <c r="A83" s="80"/>
      <c r="B83" s="81"/>
      <c r="C83" s="78"/>
    </row>
    <row r="84" spans="1:3" x14ac:dyDescent="0.25">
      <c r="A84" s="80"/>
      <c r="B84" s="81"/>
      <c r="C84" s="78"/>
    </row>
    <row r="85" spans="1:3" x14ac:dyDescent="0.25">
      <c r="A85" s="80"/>
      <c r="B85" s="81"/>
      <c r="C85" s="78"/>
    </row>
    <row r="86" spans="1:3" x14ac:dyDescent="0.25">
      <c r="A86" s="80"/>
      <c r="B86" s="81"/>
      <c r="C86" s="78"/>
    </row>
    <row r="87" spans="1:3" x14ac:dyDescent="0.25">
      <c r="A87" s="80"/>
      <c r="B87" s="81"/>
      <c r="C87" s="78"/>
    </row>
    <row r="88" spans="1:3" x14ac:dyDescent="0.25">
      <c r="A88" s="80"/>
      <c r="B88" s="81"/>
      <c r="C88" s="78"/>
    </row>
    <row r="89" spans="1:3" x14ac:dyDescent="0.25">
      <c r="A89" s="80"/>
      <c r="B89" s="81"/>
      <c r="C89" s="78"/>
    </row>
    <row r="90" spans="1:3" x14ac:dyDescent="0.25">
      <c r="A90" s="80"/>
      <c r="B90" s="81"/>
      <c r="C90" s="78"/>
    </row>
    <row r="91" spans="1:3" x14ac:dyDescent="0.25">
      <c r="A91" s="80"/>
      <c r="B91" s="81"/>
      <c r="C91" s="78"/>
    </row>
    <row r="92" spans="1:3" x14ac:dyDescent="0.25">
      <c r="A92" s="80"/>
      <c r="B92" s="81"/>
      <c r="C92" s="78"/>
    </row>
    <row r="93" spans="1:3" x14ac:dyDescent="0.25">
      <c r="A93" s="80"/>
      <c r="B93" s="81"/>
      <c r="C93" s="78"/>
    </row>
    <row r="94" spans="1:3" x14ac:dyDescent="0.25">
      <c r="A94" s="80"/>
      <c r="B94" s="81"/>
      <c r="C94" s="78"/>
    </row>
    <row r="95" spans="1:3" x14ac:dyDescent="0.25">
      <c r="A95" s="80"/>
      <c r="B95" s="81"/>
      <c r="C95" s="78"/>
    </row>
    <row r="96" spans="1:3" x14ac:dyDescent="0.25">
      <c r="A96" s="80"/>
      <c r="B96" s="81"/>
      <c r="C96" s="78"/>
    </row>
    <row r="97" spans="1:3" x14ac:dyDescent="0.25">
      <c r="A97" s="80"/>
      <c r="B97" s="81"/>
      <c r="C97" s="78"/>
    </row>
    <row r="98" spans="1:3" x14ac:dyDescent="0.25">
      <c r="A98" s="80"/>
      <c r="B98" s="81"/>
      <c r="C98" s="78"/>
    </row>
    <row r="99" spans="1:3" x14ac:dyDescent="0.25">
      <c r="A99" s="82"/>
      <c r="B99" s="83"/>
      <c r="C99" s="79"/>
    </row>
    <row r="100" spans="1:3" x14ac:dyDescent="0.25">
      <c r="A100" s="35"/>
      <c r="B100" s="36"/>
      <c r="C100" s="33"/>
    </row>
    <row r="101" spans="1:3" x14ac:dyDescent="0.25">
      <c r="A101" s="35"/>
      <c r="B101" s="36"/>
      <c r="C101" s="33"/>
    </row>
    <row r="102" spans="1:3" x14ac:dyDescent="0.25">
      <c r="A102" s="35"/>
      <c r="B102" s="36"/>
      <c r="C102" s="33"/>
    </row>
    <row r="103" spans="1:3" x14ac:dyDescent="0.25">
      <c r="A103" s="35"/>
      <c r="B103" s="36"/>
      <c r="C103" s="33"/>
    </row>
    <row r="104" spans="1:3" x14ac:dyDescent="0.25">
      <c r="A104" s="35"/>
      <c r="B104" s="36"/>
      <c r="C104" s="33"/>
    </row>
    <row r="105" spans="1:3" x14ac:dyDescent="0.25">
      <c r="A105" s="35"/>
      <c r="B105" s="36"/>
      <c r="C105" s="33"/>
    </row>
    <row r="106" spans="1:3" x14ac:dyDescent="0.25">
      <c r="A106" s="35"/>
      <c r="B106" s="36"/>
      <c r="C106" s="33"/>
    </row>
    <row r="107" spans="1:3" x14ac:dyDescent="0.25">
      <c r="A107" s="35"/>
      <c r="B107" s="36"/>
      <c r="C107" s="33"/>
    </row>
    <row r="108" spans="1:3" x14ac:dyDescent="0.25">
      <c r="A108" s="35"/>
      <c r="B108" s="36"/>
      <c r="C108" s="33"/>
    </row>
    <row r="109" spans="1:3" x14ac:dyDescent="0.25">
      <c r="A109" s="35"/>
      <c r="B109" s="36"/>
      <c r="C109" s="33"/>
    </row>
    <row r="110" spans="1:3" x14ac:dyDescent="0.25">
      <c r="A110" s="37"/>
      <c r="B110" s="38"/>
      <c r="C110" s="34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Q77"/>
  <sheetViews>
    <sheetView topLeftCell="A73" zoomScale="90" zoomScaleNormal="90" workbookViewId="0">
      <selection activeCell="H77" sqref="H77"/>
    </sheetView>
  </sheetViews>
  <sheetFormatPr defaultRowHeight="15" x14ac:dyDescent="0.25"/>
  <cols>
    <col min="1" max="1" width="13.28515625" style="1" bestFit="1" customWidth="1"/>
    <col min="2" max="2" width="11.5703125" style="74" bestFit="1" customWidth="1"/>
    <col min="3" max="3" width="11.28515625" style="75" bestFit="1" customWidth="1"/>
    <col min="4" max="4" width="12.5703125" style="1" bestFit="1" customWidth="1"/>
    <col min="5" max="5" width="11.85546875" style="1" bestFit="1" customWidth="1"/>
    <col min="6" max="6" width="10" style="1" bestFit="1" customWidth="1"/>
    <col min="7" max="7" width="41.85546875" style="1" bestFit="1" customWidth="1"/>
    <col min="8" max="8" width="12.5703125" style="1" bestFit="1" customWidth="1"/>
    <col min="9" max="9" width="9.85546875" style="1" bestFit="1" customWidth="1"/>
    <col min="10" max="10" width="12.85546875" style="1" bestFit="1" customWidth="1"/>
    <col min="11" max="11" width="14.28515625" style="1" bestFit="1" customWidth="1"/>
    <col min="12" max="12" width="25" style="1" bestFit="1" customWidth="1"/>
    <col min="14" max="14" width="8.7109375" bestFit="1" customWidth="1"/>
  </cols>
  <sheetData>
    <row r="1" spans="1:12" x14ac:dyDescent="0.25">
      <c r="A1" s="1" t="s">
        <v>50</v>
      </c>
      <c r="B1" s="60" t="s">
        <v>38</v>
      </c>
      <c r="C1" s="69" t="s">
        <v>39</v>
      </c>
      <c r="D1" s="53" t="s">
        <v>40</v>
      </c>
      <c r="E1" s="53" t="s">
        <v>0</v>
      </c>
      <c r="F1" s="53" t="s">
        <v>41</v>
      </c>
      <c r="G1" s="53" t="s">
        <v>42</v>
      </c>
      <c r="H1" s="54" t="s">
        <v>43</v>
      </c>
      <c r="I1" s="53" t="s">
        <v>44</v>
      </c>
      <c r="J1" s="53" t="s">
        <v>45</v>
      </c>
      <c r="K1" s="76" t="s">
        <v>64</v>
      </c>
      <c r="L1" s="76" t="s">
        <v>82</v>
      </c>
    </row>
    <row r="2" spans="1:12" x14ac:dyDescent="0.25">
      <c r="A2" s="1">
        <v>1</v>
      </c>
      <c r="B2" s="74">
        <v>42590</v>
      </c>
      <c r="C2" s="75">
        <v>0.41666666666666669</v>
      </c>
      <c r="D2" s="1">
        <v>508</v>
      </c>
      <c r="E2" s="1">
        <v>233</v>
      </c>
      <c r="F2" s="1">
        <v>15692</v>
      </c>
      <c r="G2" s="1" t="s">
        <v>5</v>
      </c>
      <c r="H2" s="1">
        <v>200</v>
      </c>
      <c r="I2" s="1" t="s">
        <v>79</v>
      </c>
      <c r="J2" s="1">
        <v>33</v>
      </c>
      <c r="K2" t="s">
        <v>66</v>
      </c>
      <c r="L2" s="1" t="s">
        <v>85</v>
      </c>
    </row>
    <row r="3" spans="1:12" x14ac:dyDescent="0.25">
      <c r="A3" s="1">
        <v>2</v>
      </c>
      <c r="B3" s="74">
        <v>42591</v>
      </c>
      <c r="C3" s="75">
        <v>0.41666666666666669</v>
      </c>
      <c r="D3" s="1">
        <v>508</v>
      </c>
      <c r="E3" s="1">
        <v>233</v>
      </c>
      <c r="F3" s="1">
        <v>15692</v>
      </c>
      <c r="G3" s="1" t="s">
        <v>5</v>
      </c>
      <c r="H3" s="1">
        <v>400</v>
      </c>
      <c r="I3" s="1" t="s">
        <v>79</v>
      </c>
      <c r="J3" s="1">
        <v>33</v>
      </c>
      <c r="K3" t="s">
        <v>66</v>
      </c>
      <c r="L3" s="1" t="s">
        <v>85</v>
      </c>
    </row>
    <row r="4" spans="1:12" x14ac:dyDescent="0.25">
      <c r="A4" s="1">
        <v>3</v>
      </c>
      <c r="B4" s="74">
        <v>42595</v>
      </c>
      <c r="C4" s="75">
        <v>0.4375</v>
      </c>
      <c r="D4" s="1">
        <v>508</v>
      </c>
      <c r="E4" s="1">
        <v>233</v>
      </c>
      <c r="F4" s="1">
        <v>2025</v>
      </c>
      <c r="G4" s="1" t="s">
        <v>47</v>
      </c>
      <c r="H4" s="1">
        <v>200</v>
      </c>
      <c r="I4" s="1" t="s">
        <v>79</v>
      </c>
      <c r="J4" s="1">
        <v>33</v>
      </c>
      <c r="K4" t="s">
        <v>66</v>
      </c>
      <c r="L4" s="1" t="s">
        <v>85</v>
      </c>
    </row>
    <row r="5" spans="1:12" x14ac:dyDescent="0.25">
      <c r="A5" s="1">
        <v>4</v>
      </c>
      <c r="B5" s="74">
        <v>42591</v>
      </c>
      <c r="C5" s="75">
        <v>0.41666666666666669</v>
      </c>
      <c r="D5" s="1">
        <v>523</v>
      </c>
      <c r="E5" s="1">
        <v>234</v>
      </c>
      <c r="F5" s="1">
        <v>15692</v>
      </c>
      <c r="G5" s="1" t="s">
        <v>5</v>
      </c>
      <c r="H5" s="1">
        <v>400</v>
      </c>
      <c r="I5" s="1" t="s">
        <v>79</v>
      </c>
      <c r="J5" s="1">
        <v>33</v>
      </c>
      <c r="K5" t="s">
        <v>66</v>
      </c>
      <c r="L5"/>
    </row>
    <row r="6" spans="1:12" x14ac:dyDescent="0.25">
      <c r="A6" s="1">
        <v>5</v>
      </c>
      <c r="B6" s="74">
        <v>42591</v>
      </c>
      <c r="C6" s="75">
        <v>0.45833333333333331</v>
      </c>
      <c r="D6" s="1">
        <v>526</v>
      </c>
      <c r="E6" s="1">
        <v>239</v>
      </c>
      <c r="F6" s="1">
        <v>15692</v>
      </c>
      <c r="G6" s="1" t="s">
        <v>5</v>
      </c>
      <c r="H6" s="1">
        <v>200</v>
      </c>
      <c r="I6" s="1" t="s">
        <v>79</v>
      </c>
      <c r="J6" s="1">
        <v>33</v>
      </c>
      <c r="K6" t="s">
        <v>66</v>
      </c>
      <c r="L6"/>
    </row>
    <row r="7" spans="1:12" x14ac:dyDescent="0.25">
      <c r="A7" s="1">
        <v>6</v>
      </c>
      <c r="B7" s="74">
        <v>42593</v>
      </c>
      <c r="C7" s="75">
        <v>0.5</v>
      </c>
      <c r="D7" s="1">
        <v>526</v>
      </c>
      <c r="E7" s="1">
        <v>239</v>
      </c>
      <c r="F7" s="1">
        <v>15692</v>
      </c>
      <c r="G7" s="1" t="s">
        <v>5</v>
      </c>
      <c r="H7" s="1">
        <v>200</v>
      </c>
      <c r="I7" s="1" t="s">
        <v>79</v>
      </c>
      <c r="J7" s="1">
        <v>33</v>
      </c>
      <c r="K7" t="s">
        <v>66</v>
      </c>
      <c r="L7"/>
    </row>
    <row r="8" spans="1:12" x14ac:dyDescent="0.25">
      <c r="A8" s="1">
        <v>7</v>
      </c>
      <c r="B8" s="74">
        <v>42594</v>
      </c>
      <c r="C8" s="75">
        <v>0.41666666666666669</v>
      </c>
      <c r="D8" s="1">
        <v>526</v>
      </c>
      <c r="E8" s="1">
        <v>239</v>
      </c>
      <c r="F8" s="1">
        <v>50717</v>
      </c>
      <c r="G8" s="1" t="s">
        <v>10</v>
      </c>
      <c r="H8" s="1">
        <v>200</v>
      </c>
      <c r="I8" s="1" t="s">
        <v>79</v>
      </c>
      <c r="J8" s="1">
        <v>33</v>
      </c>
      <c r="K8" t="s">
        <v>66</v>
      </c>
      <c r="L8"/>
    </row>
    <row r="9" spans="1:12" x14ac:dyDescent="0.25">
      <c r="A9" s="1">
        <v>8</v>
      </c>
      <c r="B9" s="74">
        <v>42595</v>
      </c>
      <c r="C9" s="75">
        <v>0.54166666666666663</v>
      </c>
      <c r="D9" s="1">
        <v>526</v>
      </c>
      <c r="E9" s="1">
        <v>239</v>
      </c>
      <c r="F9" s="1">
        <v>15692</v>
      </c>
      <c r="G9" s="1" t="s">
        <v>5</v>
      </c>
      <c r="H9" s="1">
        <v>200</v>
      </c>
      <c r="I9" s="1" t="s">
        <v>79</v>
      </c>
      <c r="J9" s="1">
        <v>33</v>
      </c>
      <c r="K9" t="s">
        <v>66</v>
      </c>
      <c r="L9"/>
    </row>
    <row r="10" spans="1:12" x14ac:dyDescent="0.25">
      <c r="A10" s="1">
        <v>9</v>
      </c>
      <c r="B10" s="74">
        <v>42597</v>
      </c>
      <c r="C10" s="75">
        <v>0.4375</v>
      </c>
      <c r="D10" s="1">
        <v>526</v>
      </c>
      <c r="E10" s="1">
        <v>239</v>
      </c>
      <c r="F10" s="1">
        <v>15692</v>
      </c>
      <c r="G10" s="1" t="s">
        <v>5</v>
      </c>
      <c r="H10" s="1">
        <v>200</v>
      </c>
      <c r="I10" s="1" t="s">
        <v>79</v>
      </c>
      <c r="J10" s="1">
        <v>34</v>
      </c>
      <c r="K10" t="s">
        <v>66</v>
      </c>
      <c r="L10"/>
    </row>
    <row r="11" spans="1:12" x14ac:dyDescent="0.25">
      <c r="A11" s="1">
        <v>10</v>
      </c>
      <c r="B11" s="74">
        <v>42594</v>
      </c>
      <c r="C11" s="75">
        <v>0.45833333333333331</v>
      </c>
      <c r="D11" s="1">
        <v>527</v>
      </c>
      <c r="E11" s="1">
        <v>232</v>
      </c>
      <c r="F11" s="1">
        <v>15692</v>
      </c>
      <c r="G11" s="1" t="s">
        <v>5</v>
      </c>
      <c r="H11" s="1">
        <v>200</v>
      </c>
      <c r="I11" s="1" t="s">
        <v>79</v>
      </c>
      <c r="J11" s="1">
        <v>33</v>
      </c>
      <c r="K11" t="s">
        <v>66</v>
      </c>
      <c r="L11"/>
    </row>
    <row r="12" spans="1:12" x14ac:dyDescent="0.25">
      <c r="A12" s="1">
        <v>11</v>
      </c>
      <c r="B12" s="74">
        <v>42592</v>
      </c>
      <c r="C12" s="75">
        <v>0.5</v>
      </c>
      <c r="D12" s="1">
        <v>528</v>
      </c>
      <c r="E12" s="1">
        <v>230</v>
      </c>
      <c r="F12" s="1">
        <v>15692</v>
      </c>
      <c r="G12" s="1" t="s">
        <v>5</v>
      </c>
      <c r="H12" s="1">
        <v>200</v>
      </c>
      <c r="I12" s="1" t="s">
        <v>79</v>
      </c>
      <c r="J12" s="1">
        <v>33</v>
      </c>
      <c r="K12" t="s">
        <v>66</v>
      </c>
      <c r="L12"/>
    </row>
    <row r="13" spans="1:12" x14ac:dyDescent="0.25">
      <c r="A13" s="1">
        <v>12</v>
      </c>
      <c r="B13" s="74">
        <v>42593</v>
      </c>
      <c r="C13" s="75">
        <v>0.54166666666666663</v>
      </c>
      <c r="D13" s="1">
        <v>528</v>
      </c>
      <c r="E13" s="1">
        <v>230</v>
      </c>
      <c r="F13" s="1">
        <v>15692</v>
      </c>
      <c r="G13" s="1" t="s">
        <v>5</v>
      </c>
      <c r="H13" s="1">
        <v>200</v>
      </c>
      <c r="I13" s="1" t="s">
        <v>79</v>
      </c>
      <c r="J13" s="1">
        <v>33</v>
      </c>
      <c r="K13" t="s">
        <v>66</v>
      </c>
      <c r="L13"/>
    </row>
    <row r="14" spans="1:12" x14ac:dyDescent="0.25">
      <c r="A14" s="1">
        <v>13</v>
      </c>
      <c r="B14" s="74">
        <v>42594</v>
      </c>
      <c r="C14" s="75">
        <v>0.625</v>
      </c>
      <c r="D14" s="1">
        <v>528</v>
      </c>
      <c r="E14" s="1">
        <v>230</v>
      </c>
      <c r="F14" s="1">
        <v>15692</v>
      </c>
      <c r="G14" s="1" t="s">
        <v>5</v>
      </c>
      <c r="H14" s="1">
        <v>200</v>
      </c>
      <c r="I14" s="1" t="s">
        <v>79</v>
      </c>
      <c r="J14" s="1">
        <v>33</v>
      </c>
      <c r="K14" t="s">
        <v>66</v>
      </c>
      <c r="L14"/>
    </row>
    <row r="15" spans="1:12" x14ac:dyDescent="0.25">
      <c r="A15" s="1">
        <v>14</v>
      </c>
      <c r="B15" s="74">
        <v>42590</v>
      </c>
      <c r="C15" s="75">
        <v>0.625</v>
      </c>
      <c r="D15" s="1">
        <v>529</v>
      </c>
      <c r="E15" s="1">
        <v>231</v>
      </c>
      <c r="F15" s="1">
        <v>15692</v>
      </c>
      <c r="G15" s="1" t="s">
        <v>5</v>
      </c>
      <c r="H15" s="1">
        <v>200</v>
      </c>
      <c r="I15" s="1" t="s">
        <v>79</v>
      </c>
      <c r="J15" s="1">
        <v>33</v>
      </c>
      <c r="K15" t="s">
        <v>66</v>
      </c>
      <c r="L15"/>
    </row>
    <row r="16" spans="1:12" x14ac:dyDescent="0.25">
      <c r="A16" s="1">
        <v>15</v>
      </c>
      <c r="B16" s="74">
        <v>42590</v>
      </c>
      <c r="C16" s="75">
        <v>0.58333333333333337</v>
      </c>
      <c r="D16" s="1">
        <v>532</v>
      </c>
      <c r="E16" s="1">
        <v>129</v>
      </c>
      <c r="F16" s="1">
        <v>15692</v>
      </c>
      <c r="G16" s="1" t="s">
        <v>5</v>
      </c>
      <c r="H16" s="1">
        <v>400</v>
      </c>
      <c r="I16" s="1" t="s">
        <v>79</v>
      </c>
      <c r="J16" s="1">
        <v>33</v>
      </c>
      <c r="K16" t="s">
        <v>66</v>
      </c>
      <c r="L16"/>
    </row>
    <row r="17" spans="1:12" x14ac:dyDescent="0.25">
      <c r="A17" s="1">
        <v>16</v>
      </c>
      <c r="B17" s="74">
        <v>42592</v>
      </c>
      <c r="C17" s="75">
        <v>0.58333333333333337</v>
      </c>
      <c r="D17" s="1">
        <v>532</v>
      </c>
      <c r="E17" s="1">
        <v>129</v>
      </c>
      <c r="F17" s="1">
        <v>15692</v>
      </c>
      <c r="G17" s="1" t="s">
        <v>5</v>
      </c>
      <c r="H17" s="1">
        <v>200</v>
      </c>
      <c r="I17" s="1" t="s">
        <v>79</v>
      </c>
      <c r="J17" s="1">
        <v>33</v>
      </c>
      <c r="K17" t="s">
        <v>66</v>
      </c>
      <c r="L17"/>
    </row>
    <row r="18" spans="1:12" x14ac:dyDescent="0.25">
      <c r="A18" s="1">
        <v>17</v>
      </c>
      <c r="B18" s="74">
        <v>42593</v>
      </c>
      <c r="C18" s="75">
        <v>0.625</v>
      </c>
      <c r="D18" s="1">
        <v>532</v>
      </c>
      <c r="E18" s="1">
        <v>129</v>
      </c>
      <c r="F18" s="1">
        <v>15692</v>
      </c>
      <c r="G18" s="1" t="s">
        <v>5</v>
      </c>
      <c r="H18" s="1">
        <v>200</v>
      </c>
      <c r="I18" s="1" t="s">
        <v>79</v>
      </c>
      <c r="J18" s="1">
        <v>33</v>
      </c>
      <c r="K18" t="s">
        <v>66</v>
      </c>
      <c r="L18"/>
    </row>
    <row r="19" spans="1:12" x14ac:dyDescent="0.25">
      <c r="A19" s="1">
        <v>18</v>
      </c>
      <c r="B19" s="74">
        <v>42592</v>
      </c>
      <c r="C19" s="75">
        <v>0.5</v>
      </c>
      <c r="D19" s="1">
        <v>527</v>
      </c>
      <c r="E19" s="1">
        <v>232</v>
      </c>
      <c r="F19" s="1">
        <v>195360</v>
      </c>
      <c r="G19" s="1" t="s">
        <v>49</v>
      </c>
      <c r="H19" s="1">
        <v>200</v>
      </c>
      <c r="I19" s="1" t="s">
        <v>79</v>
      </c>
      <c r="J19" s="1">
        <v>33</v>
      </c>
      <c r="K19" t="s">
        <v>66</v>
      </c>
      <c r="L19"/>
    </row>
    <row r="20" spans="1:12" x14ac:dyDescent="0.25">
      <c r="A20" s="1">
        <v>19</v>
      </c>
      <c r="B20" s="74">
        <v>42592</v>
      </c>
      <c r="C20" s="75">
        <v>0.625</v>
      </c>
      <c r="D20" s="1">
        <v>527</v>
      </c>
      <c r="E20" s="1">
        <v>232</v>
      </c>
      <c r="F20" s="1">
        <v>107124</v>
      </c>
      <c r="G20" s="1" t="s">
        <v>4</v>
      </c>
      <c r="H20" s="1">
        <v>170</v>
      </c>
      <c r="I20" s="1" t="s">
        <v>79</v>
      </c>
      <c r="J20" s="1">
        <v>33</v>
      </c>
      <c r="K20" t="s">
        <v>66</v>
      </c>
      <c r="L20"/>
    </row>
    <row r="21" spans="1:12" x14ac:dyDescent="0.25">
      <c r="A21" s="1">
        <v>20</v>
      </c>
      <c r="B21" s="74">
        <v>42598</v>
      </c>
      <c r="C21" s="75">
        <v>0.7104166666666667</v>
      </c>
      <c r="D21" s="1">
        <v>526</v>
      </c>
      <c r="E21" s="1">
        <v>239</v>
      </c>
      <c r="F21" s="1">
        <v>15692</v>
      </c>
      <c r="G21" s="1" t="s">
        <v>5</v>
      </c>
      <c r="H21" s="1">
        <v>200</v>
      </c>
      <c r="I21" s="1" t="s">
        <v>79</v>
      </c>
      <c r="J21" s="1">
        <v>34</v>
      </c>
      <c r="K21" t="s">
        <v>77</v>
      </c>
      <c r="L21"/>
    </row>
    <row r="22" spans="1:12" x14ac:dyDescent="0.25">
      <c r="A22" s="1">
        <v>21</v>
      </c>
      <c r="B22" s="74">
        <v>42598</v>
      </c>
      <c r="C22" s="75">
        <v>0.71180555555555547</v>
      </c>
      <c r="D22" s="1">
        <v>526</v>
      </c>
      <c r="E22" s="1">
        <v>239</v>
      </c>
      <c r="F22" s="1">
        <v>2025</v>
      </c>
      <c r="G22" s="1" t="s">
        <v>47</v>
      </c>
      <c r="H22" s="1">
        <v>200</v>
      </c>
      <c r="I22" s="1" t="s">
        <v>79</v>
      </c>
      <c r="J22" s="1">
        <v>34</v>
      </c>
      <c r="K22" t="s">
        <v>77</v>
      </c>
      <c r="L22"/>
    </row>
    <row r="23" spans="1:12" x14ac:dyDescent="0.25">
      <c r="A23" s="1">
        <v>22</v>
      </c>
      <c r="B23" s="74">
        <v>42598</v>
      </c>
      <c r="C23" s="75">
        <v>0.87986111111111109</v>
      </c>
      <c r="D23" s="1">
        <v>527</v>
      </c>
      <c r="E23" s="1">
        <v>232</v>
      </c>
      <c r="F23" s="1">
        <v>15692</v>
      </c>
      <c r="G23" s="1" t="s">
        <v>5</v>
      </c>
      <c r="H23" s="1">
        <v>200</v>
      </c>
      <c r="I23" s="1" t="s">
        <v>79</v>
      </c>
      <c r="J23" s="1">
        <v>34</v>
      </c>
      <c r="K23" t="s">
        <v>77</v>
      </c>
      <c r="L23"/>
    </row>
    <row r="24" spans="1:12" x14ac:dyDescent="0.25">
      <c r="A24" s="1">
        <v>23</v>
      </c>
      <c r="B24" s="74">
        <v>42595</v>
      </c>
      <c r="C24" s="75">
        <v>0.75</v>
      </c>
      <c r="D24" s="1">
        <v>508</v>
      </c>
      <c r="E24" s="1">
        <v>233</v>
      </c>
      <c r="F24" s="1">
        <v>15692</v>
      </c>
      <c r="G24" s="1" t="s">
        <v>5</v>
      </c>
      <c r="H24" s="1">
        <v>400</v>
      </c>
      <c r="I24" s="1" t="s">
        <v>79</v>
      </c>
      <c r="J24" s="1">
        <v>33</v>
      </c>
      <c r="K24" t="s">
        <v>78</v>
      </c>
      <c r="L24" s="1" t="s">
        <v>85</v>
      </c>
    </row>
    <row r="25" spans="1:12" x14ac:dyDescent="0.25">
      <c r="A25" s="1">
        <v>24</v>
      </c>
      <c r="B25" s="74">
        <v>42592</v>
      </c>
      <c r="C25" s="75">
        <v>0.66666666666666663</v>
      </c>
      <c r="D25" s="1">
        <v>529</v>
      </c>
      <c r="E25" s="1">
        <v>231</v>
      </c>
      <c r="F25" s="1">
        <v>15692</v>
      </c>
      <c r="G25" s="1" t="s">
        <v>5</v>
      </c>
      <c r="H25" s="1">
        <v>200</v>
      </c>
      <c r="I25" s="1" t="s">
        <v>79</v>
      </c>
      <c r="J25" s="1">
        <v>33</v>
      </c>
      <c r="K25" t="s">
        <v>66</v>
      </c>
      <c r="L25"/>
    </row>
    <row r="26" spans="1:12" x14ac:dyDescent="0.25">
      <c r="A26" s="1">
        <v>25</v>
      </c>
      <c r="B26" s="74">
        <v>42593</v>
      </c>
      <c r="C26" s="75">
        <v>0.66666666666666663</v>
      </c>
      <c r="D26" s="1">
        <v>529</v>
      </c>
      <c r="E26" s="1">
        <v>231</v>
      </c>
      <c r="F26" s="1">
        <v>15692</v>
      </c>
      <c r="G26" s="1" t="s">
        <v>5</v>
      </c>
      <c r="H26" s="1">
        <v>200</v>
      </c>
      <c r="I26" s="1" t="s">
        <v>79</v>
      </c>
      <c r="J26" s="1">
        <v>33</v>
      </c>
      <c r="K26" t="s">
        <v>66</v>
      </c>
      <c r="L26"/>
    </row>
    <row r="27" spans="1:12" x14ac:dyDescent="0.25">
      <c r="A27" s="1">
        <v>26</v>
      </c>
      <c r="B27" s="74">
        <v>42594</v>
      </c>
      <c r="C27" s="75">
        <v>0.75</v>
      </c>
      <c r="D27" s="1">
        <v>529</v>
      </c>
      <c r="E27" s="1">
        <v>231</v>
      </c>
      <c r="F27" s="1">
        <v>15692</v>
      </c>
      <c r="G27" s="1" t="s">
        <v>5</v>
      </c>
      <c r="H27" s="1">
        <v>200</v>
      </c>
      <c r="I27" s="1" t="s">
        <v>79</v>
      </c>
      <c r="J27" s="1">
        <v>33</v>
      </c>
      <c r="K27" t="s">
        <v>66</v>
      </c>
      <c r="L27"/>
    </row>
    <row r="28" spans="1:12" x14ac:dyDescent="0.25">
      <c r="A28" s="1">
        <v>27</v>
      </c>
      <c r="B28" s="74">
        <v>42597</v>
      </c>
      <c r="C28" s="75">
        <v>0.75</v>
      </c>
      <c r="D28" s="1">
        <v>529</v>
      </c>
      <c r="E28" s="1">
        <v>231</v>
      </c>
      <c r="F28" s="1">
        <v>15692</v>
      </c>
      <c r="G28" s="1" t="s">
        <v>5</v>
      </c>
      <c r="H28" s="1">
        <v>200</v>
      </c>
      <c r="I28" s="1" t="s">
        <v>79</v>
      </c>
      <c r="J28" s="1">
        <v>34</v>
      </c>
      <c r="K28" t="s">
        <v>66</v>
      </c>
      <c r="L28"/>
    </row>
    <row r="29" spans="1:12" x14ac:dyDescent="0.25">
      <c r="A29" s="1">
        <v>28</v>
      </c>
      <c r="B29" s="74">
        <v>42597</v>
      </c>
      <c r="C29" s="75">
        <v>0.75</v>
      </c>
      <c r="D29" s="1">
        <v>529</v>
      </c>
      <c r="E29" s="1">
        <v>231</v>
      </c>
      <c r="F29" s="1">
        <v>50717</v>
      </c>
      <c r="G29" s="1" t="s">
        <v>10</v>
      </c>
      <c r="H29" s="1">
        <v>200</v>
      </c>
      <c r="I29" s="1" t="s">
        <v>79</v>
      </c>
      <c r="J29" s="1">
        <v>34</v>
      </c>
      <c r="K29" t="s">
        <v>66</v>
      </c>
      <c r="L29"/>
    </row>
    <row r="30" spans="1:12" x14ac:dyDescent="0.25">
      <c r="A30" s="1">
        <v>29</v>
      </c>
      <c r="B30" s="74">
        <v>42595</v>
      </c>
      <c r="C30" s="75">
        <v>0.75</v>
      </c>
      <c r="D30" s="1">
        <v>527</v>
      </c>
      <c r="E30" s="1">
        <v>232</v>
      </c>
      <c r="F30" s="1">
        <v>15692</v>
      </c>
      <c r="G30" s="1" t="s">
        <v>5</v>
      </c>
      <c r="H30" s="1">
        <v>200</v>
      </c>
      <c r="I30" s="1" t="s">
        <v>79</v>
      </c>
      <c r="J30" s="1">
        <v>33</v>
      </c>
      <c r="K30" t="s">
        <v>66</v>
      </c>
      <c r="L30"/>
    </row>
    <row r="31" spans="1:12" x14ac:dyDescent="0.25">
      <c r="A31" s="1">
        <v>30</v>
      </c>
      <c r="B31" s="74">
        <v>42591</v>
      </c>
      <c r="C31" s="75">
        <v>0.75</v>
      </c>
      <c r="D31" s="1">
        <v>527</v>
      </c>
      <c r="E31" s="1">
        <v>232</v>
      </c>
      <c r="F31" s="1">
        <v>15692</v>
      </c>
      <c r="G31" s="1" t="s">
        <v>5</v>
      </c>
      <c r="H31" s="1">
        <v>400</v>
      </c>
      <c r="I31" s="1" t="s">
        <v>79</v>
      </c>
      <c r="J31" s="1">
        <v>33</v>
      </c>
      <c r="K31" t="s">
        <v>66</v>
      </c>
      <c r="L31"/>
    </row>
    <row r="32" spans="1:12" x14ac:dyDescent="0.25">
      <c r="A32" s="1">
        <v>31</v>
      </c>
      <c r="B32" s="74">
        <v>42597</v>
      </c>
      <c r="C32" s="75">
        <v>0.75</v>
      </c>
      <c r="D32" s="1">
        <v>528</v>
      </c>
      <c r="E32" s="1">
        <v>230</v>
      </c>
      <c r="F32" s="1">
        <v>15692</v>
      </c>
      <c r="G32" s="1" t="s">
        <v>5</v>
      </c>
      <c r="H32" s="1">
        <v>200</v>
      </c>
      <c r="I32" s="1" t="s">
        <v>79</v>
      </c>
      <c r="J32" s="1">
        <v>34</v>
      </c>
      <c r="K32" t="s">
        <v>66</v>
      </c>
      <c r="L32"/>
    </row>
    <row r="33" spans="1:12" x14ac:dyDescent="0.25">
      <c r="A33" s="1">
        <v>32</v>
      </c>
      <c r="B33" s="74">
        <v>42597</v>
      </c>
      <c r="C33" s="75">
        <v>0.75</v>
      </c>
      <c r="D33" s="1">
        <v>526</v>
      </c>
      <c r="E33" s="1">
        <v>239</v>
      </c>
      <c r="F33" s="1">
        <v>15692</v>
      </c>
      <c r="G33" s="1" t="s">
        <v>5</v>
      </c>
      <c r="H33" s="1">
        <v>200</v>
      </c>
      <c r="I33" s="1" t="s">
        <v>79</v>
      </c>
      <c r="J33" s="1">
        <v>34</v>
      </c>
      <c r="K33" t="s">
        <v>66</v>
      </c>
      <c r="L33"/>
    </row>
    <row r="34" spans="1:12" x14ac:dyDescent="0.25">
      <c r="A34" s="1">
        <v>33</v>
      </c>
      <c r="B34" s="74">
        <v>42597</v>
      </c>
      <c r="C34" s="75">
        <v>0.58333333333333337</v>
      </c>
      <c r="D34" s="1">
        <v>520</v>
      </c>
      <c r="E34" s="1">
        <v>237</v>
      </c>
      <c r="F34" s="1">
        <v>15692</v>
      </c>
      <c r="G34" s="1" t="s">
        <v>5</v>
      </c>
      <c r="H34" s="1">
        <v>200</v>
      </c>
      <c r="I34" s="1" t="s">
        <v>79</v>
      </c>
      <c r="J34" s="1">
        <v>34</v>
      </c>
      <c r="K34" s="1" t="s">
        <v>67</v>
      </c>
      <c r="L34" s="1" t="s">
        <v>85</v>
      </c>
    </row>
    <row r="35" spans="1:12" x14ac:dyDescent="0.25">
      <c r="A35" s="1">
        <v>34</v>
      </c>
      <c r="B35" s="74">
        <v>42597</v>
      </c>
      <c r="C35" s="75">
        <v>0.625</v>
      </c>
      <c r="D35" s="1">
        <v>518</v>
      </c>
      <c r="E35" s="1">
        <v>227</v>
      </c>
      <c r="F35" s="1">
        <v>15699</v>
      </c>
      <c r="G35" s="1" t="s">
        <v>6</v>
      </c>
      <c r="H35" s="1">
        <v>300</v>
      </c>
      <c r="I35" s="1" t="s">
        <v>79</v>
      </c>
      <c r="J35" s="1">
        <v>34</v>
      </c>
      <c r="K35" s="1" t="s">
        <v>67</v>
      </c>
    </row>
    <row r="36" spans="1:12" x14ac:dyDescent="0.25">
      <c r="A36" s="1">
        <v>35</v>
      </c>
      <c r="B36" s="74">
        <v>42597</v>
      </c>
      <c r="C36" s="75">
        <v>0.625</v>
      </c>
      <c r="D36" s="1">
        <v>520</v>
      </c>
      <c r="E36" s="1">
        <v>237</v>
      </c>
      <c r="F36" s="1">
        <v>15692</v>
      </c>
      <c r="G36" s="1" t="s">
        <v>5</v>
      </c>
      <c r="H36" s="1">
        <v>200</v>
      </c>
      <c r="I36" s="1" t="s">
        <v>79</v>
      </c>
      <c r="J36" s="1">
        <v>34</v>
      </c>
      <c r="K36" s="1" t="s">
        <v>67</v>
      </c>
      <c r="L36" s="1" t="s">
        <v>85</v>
      </c>
    </row>
    <row r="37" spans="1:12" x14ac:dyDescent="0.25">
      <c r="A37" s="1">
        <v>36</v>
      </c>
      <c r="B37" s="74">
        <v>42591</v>
      </c>
      <c r="C37" s="75">
        <v>0.625</v>
      </c>
      <c r="D37" s="1">
        <v>516</v>
      </c>
      <c r="E37" s="1">
        <v>225</v>
      </c>
      <c r="F37" s="1">
        <v>140211</v>
      </c>
      <c r="G37" s="1" t="s">
        <v>48</v>
      </c>
      <c r="H37" s="1">
        <v>200</v>
      </c>
      <c r="I37" s="1" t="s">
        <v>79</v>
      </c>
      <c r="J37" s="1">
        <v>33</v>
      </c>
      <c r="K37" s="1" t="s">
        <v>67</v>
      </c>
      <c r="L37" s="1" t="s">
        <v>85</v>
      </c>
    </row>
    <row r="38" spans="1:12" x14ac:dyDescent="0.25">
      <c r="A38" s="1">
        <v>37</v>
      </c>
      <c r="B38" s="74">
        <v>42593</v>
      </c>
      <c r="C38" s="75">
        <v>0.625</v>
      </c>
      <c r="D38" s="1">
        <v>516</v>
      </c>
      <c r="E38" s="1">
        <v>225</v>
      </c>
      <c r="F38" s="1">
        <v>140211</v>
      </c>
      <c r="G38" s="1" t="s">
        <v>48</v>
      </c>
      <c r="H38" s="1">
        <v>200</v>
      </c>
      <c r="I38" s="1" t="s">
        <v>79</v>
      </c>
      <c r="J38" s="1">
        <v>33</v>
      </c>
      <c r="K38" s="1" t="s">
        <v>67</v>
      </c>
      <c r="L38" s="1" t="s">
        <v>85</v>
      </c>
    </row>
    <row r="39" spans="1:12" x14ac:dyDescent="0.25">
      <c r="A39" s="1">
        <v>39</v>
      </c>
      <c r="B39" s="74">
        <v>42599</v>
      </c>
      <c r="C39" s="75">
        <v>0.625</v>
      </c>
      <c r="D39" s="1">
        <v>532</v>
      </c>
      <c r="E39" s="1">
        <v>129</v>
      </c>
      <c r="F39" s="1">
        <v>15692</v>
      </c>
      <c r="G39" s="1" t="s">
        <v>5</v>
      </c>
      <c r="H39" s="1">
        <v>200</v>
      </c>
      <c r="I39" s="1" t="s">
        <v>79</v>
      </c>
      <c r="J39" s="1">
        <v>34</v>
      </c>
      <c r="K39" t="s">
        <v>66</v>
      </c>
      <c r="L39"/>
    </row>
    <row r="40" spans="1:12" x14ac:dyDescent="0.25">
      <c r="A40" s="1">
        <v>40</v>
      </c>
      <c r="B40" s="74">
        <v>42599</v>
      </c>
      <c r="C40" s="75">
        <v>0.625</v>
      </c>
      <c r="D40" s="1">
        <v>532</v>
      </c>
      <c r="E40" s="1">
        <v>129</v>
      </c>
      <c r="F40" s="1">
        <v>15696</v>
      </c>
      <c r="G40" s="1" t="s">
        <v>46</v>
      </c>
      <c r="H40" s="1">
        <v>200</v>
      </c>
      <c r="I40" s="1" t="s">
        <v>79</v>
      </c>
      <c r="J40" s="1">
        <v>34</v>
      </c>
      <c r="K40" t="s">
        <v>66</v>
      </c>
      <c r="L40"/>
    </row>
    <row r="41" spans="1:12" x14ac:dyDescent="0.25">
      <c r="A41" s="1">
        <v>41</v>
      </c>
      <c r="B41" s="74">
        <v>42599</v>
      </c>
      <c r="C41" s="75">
        <v>0.625</v>
      </c>
      <c r="D41" s="1">
        <v>532</v>
      </c>
      <c r="E41" s="1">
        <v>129</v>
      </c>
      <c r="F41" s="1">
        <v>50717</v>
      </c>
      <c r="G41" s="1" t="s">
        <v>10</v>
      </c>
      <c r="H41" s="1">
        <v>200</v>
      </c>
      <c r="I41" s="1" t="s">
        <v>79</v>
      </c>
      <c r="J41" s="1">
        <v>34</v>
      </c>
      <c r="K41" t="s">
        <v>66</v>
      </c>
      <c r="L41"/>
    </row>
    <row r="42" spans="1:12" x14ac:dyDescent="0.25">
      <c r="A42" s="1">
        <v>42</v>
      </c>
      <c r="B42" s="74">
        <v>42599</v>
      </c>
      <c r="C42" s="75">
        <v>0.6694444444444444</v>
      </c>
      <c r="D42" s="1">
        <v>526</v>
      </c>
      <c r="E42" s="1">
        <v>239</v>
      </c>
      <c r="F42" s="1">
        <v>15692</v>
      </c>
      <c r="G42" s="1" t="s">
        <v>5</v>
      </c>
      <c r="H42" s="1">
        <v>200</v>
      </c>
      <c r="I42" s="1" t="s">
        <v>79</v>
      </c>
      <c r="J42" s="1">
        <v>34</v>
      </c>
      <c r="K42" t="s">
        <v>77</v>
      </c>
      <c r="L42"/>
    </row>
    <row r="43" spans="1:12" x14ac:dyDescent="0.25">
      <c r="A43" s="1">
        <v>44</v>
      </c>
      <c r="B43" s="74">
        <v>42594</v>
      </c>
      <c r="C43" s="75">
        <v>0.625</v>
      </c>
      <c r="D43" s="1">
        <v>518</v>
      </c>
      <c r="E43" s="1">
        <v>227</v>
      </c>
      <c r="F43" s="1">
        <v>15692</v>
      </c>
      <c r="G43" s="1" t="s">
        <v>5</v>
      </c>
      <c r="H43" s="1">
        <v>250</v>
      </c>
      <c r="I43" s="1" t="s">
        <v>79</v>
      </c>
      <c r="J43" s="1">
        <v>33</v>
      </c>
      <c r="K43" s="1" t="s">
        <v>68</v>
      </c>
      <c r="L43" s="1" t="s">
        <v>85</v>
      </c>
    </row>
    <row r="44" spans="1:12" x14ac:dyDescent="0.25">
      <c r="A44" s="1">
        <v>45</v>
      </c>
      <c r="B44" s="74">
        <v>42597</v>
      </c>
      <c r="C44" s="75">
        <v>0.625</v>
      </c>
      <c r="D44" s="1">
        <v>518</v>
      </c>
      <c r="E44" s="1">
        <v>227</v>
      </c>
      <c r="F44" s="1">
        <v>15699</v>
      </c>
      <c r="G44" s="1" t="s">
        <v>6</v>
      </c>
      <c r="H44" s="1">
        <v>200</v>
      </c>
      <c r="I44" s="1" t="s">
        <v>79</v>
      </c>
      <c r="J44" s="1">
        <v>34</v>
      </c>
      <c r="K44" s="1" t="s">
        <v>68</v>
      </c>
    </row>
    <row r="45" spans="1:12" x14ac:dyDescent="0.25">
      <c r="A45" s="1">
        <v>46</v>
      </c>
      <c r="B45" s="74">
        <v>42594</v>
      </c>
      <c r="C45" s="75">
        <v>0.625</v>
      </c>
      <c r="D45" s="1">
        <v>519</v>
      </c>
      <c r="E45" s="1">
        <v>228</v>
      </c>
      <c r="F45" s="1">
        <v>195360</v>
      </c>
      <c r="G45" s="1" t="s">
        <v>49</v>
      </c>
      <c r="H45" s="1">
        <v>380</v>
      </c>
      <c r="I45" s="1" t="s">
        <v>79</v>
      </c>
      <c r="J45" s="1">
        <v>33</v>
      </c>
      <c r="K45" s="1" t="s">
        <v>68</v>
      </c>
    </row>
    <row r="46" spans="1:12" x14ac:dyDescent="0.25">
      <c r="A46" s="1">
        <v>47</v>
      </c>
      <c r="B46" s="74">
        <v>42594</v>
      </c>
      <c r="C46" s="75">
        <v>0.625</v>
      </c>
      <c r="D46" s="1">
        <v>519</v>
      </c>
      <c r="E46" s="1">
        <v>228</v>
      </c>
      <c r="F46" s="1">
        <v>195360</v>
      </c>
      <c r="G46" s="1" t="s">
        <v>49</v>
      </c>
      <c r="H46" s="1">
        <v>260</v>
      </c>
      <c r="I46" s="1" t="s">
        <v>79</v>
      </c>
      <c r="J46" s="1">
        <v>33</v>
      </c>
      <c r="K46" s="1" t="s">
        <v>68</v>
      </c>
    </row>
    <row r="47" spans="1:12" x14ac:dyDescent="0.25">
      <c r="A47" s="1">
        <v>48</v>
      </c>
      <c r="B47" s="74">
        <v>42595</v>
      </c>
      <c r="C47" s="75">
        <v>0.625</v>
      </c>
      <c r="D47" s="1">
        <v>524</v>
      </c>
      <c r="E47" s="1">
        <v>235</v>
      </c>
      <c r="F47" s="1">
        <v>195360</v>
      </c>
      <c r="G47" s="1" t="s">
        <v>49</v>
      </c>
      <c r="H47" s="1">
        <v>180</v>
      </c>
      <c r="I47" s="1" t="s">
        <v>79</v>
      </c>
      <c r="J47" s="1">
        <v>33</v>
      </c>
      <c r="K47" s="1" t="s">
        <v>68</v>
      </c>
    </row>
    <row r="48" spans="1:12" x14ac:dyDescent="0.25">
      <c r="A48" s="1">
        <v>49</v>
      </c>
      <c r="B48" s="74">
        <v>42596</v>
      </c>
      <c r="C48" s="75">
        <v>0.625</v>
      </c>
      <c r="D48" s="1">
        <v>524</v>
      </c>
      <c r="E48" s="1">
        <v>235</v>
      </c>
      <c r="F48" s="1">
        <v>140211</v>
      </c>
      <c r="G48" s="1" t="s">
        <v>48</v>
      </c>
      <c r="H48" s="1">
        <v>400</v>
      </c>
      <c r="I48" s="1" t="s">
        <v>79</v>
      </c>
      <c r="J48" s="1">
        <v>34</v>
      </c>
      <c r="K48" s="1" t="s">
        <v>68</v>
      </c>
    </row>
    <row r="49" spans="1:17" x14ac:dyDescent="0.25">
      <c r="A49" s="1">
        <v>50</v>
      </c>
      <c r="B49" s="74">
        <v>42592</v>
      </c>
      <c r="C49" s="75">
        <v>0.625</v>
      </c>
      <c r="D49" s="1">
        <v>524</v>
      </c>
      <c r="E49" s="1">
        <v>235</v>
      </c>
      <c r="F49" s="1">
        <v>54213</v>
      </c>
      <c r="G49" s="1" t="s">
        <v>11</v>
      </c>
      <c r="H49" s="1">
        <v>200</v>
      </c>
      <c r="I49" s="1" t="s">
        <v>79</v>
      </c>
      <c r="J49" s="1">
        <v>33</v>
      </c>
      <c r="K49" s="1" t="s">
        <v>68</v>
      </c>
    </row>
    <row r="50" spans="1:17" x14ac:dyDescent="0.25">
      <c r="A50" s="1">
        <v>51</v>
      </c>
      <c r="B50" s="74">
        <v>42592</v>
      </c>
      <c r="C50" s="75">
        <v>0.625</v>
      </c>
      <c r="D50" s="1">
        <v>524</v>
      </c>
      <c r="E50" s="1">
        <v>235</v>
      </c>
      <c r="F50" s="1">
        <v>15692</v>
      </c>
      <c r="G50" s="1" t="s">
        <v>5</v>
      </c>
      <c r="H50" s="1">
        <v>180</v>
      </c>
      <c r="I50" s="1" t="s">
        <v>79</v>
      </c>
      <c r="J50" s="1">
        <v>33</v>
      </c>
      <c r="K50" s="1" t="s">
        <v>68</v>
      </c>
    </row>
    <row r="51" spans="1:17" x14ac:dyDescent="0.25">
      <c r="A51" s="1">
        <v>52</v>
      </c>
      <c r="B51" s="74">
        <v>42595</v>
      </c>
      <c r="C51" s="75">
        <v>0.625</v>
      </c>
      <c r="D51" s="1">
        <v>524</v>
      </c>
      <c r="E51" s="1">
        <v>235</v>
      </c>
      <c r="F51" s="1">
        <v>195360</v>
      </c>
      <c r="G51" s="1" t="s">
        <v>49</v>
      </c>
      <c r="H51" s="1">
        <v>180</v>
      </c>
      <c r="I51" s="1" t="s">
        <v>79</v>
      </c>
      <c r="J51" s="1">
        <v>33</v>
      </c>
      <c r="K51" s="1" t="s">
        <v>68</v>
      </c>
    </row>
    <row r="52" spans="1:17" x14ac:dyDescent="0.25">
      <c r="A52" s="1">
        <v>53</v>
      </c>
      <c r="B52" s="74">
        <v>42595</v>
      </c>
      <c r="C52" s="75">
        <v>0.625</v>
      </c>
      <c r="D52" s="1">
        <v>524</v>
      </c>
      <c r="E52" s="1">
        <v>235</v>
      </c>
      <c r="F52" s="1">
        <v>140211</v>
      </c>
      <c r="G52" s="1" t="s">
        <v>48</v>
      </c>
      <c r="H52" s="1">
        <v>200</v>
      </c>
      <c r="I52" s="1" t="s">
        <v>79</v>
      </c>
      <c r="J52" s="1">
        <v>33</v>
      </c>
      <c r="K52" s="1" t="s">
        <v>68</v>
      </c>
    </row>
    <row r="53" spans="1:17" x14ac:dyDescent="0.25">
      <c r="A53" s="1">
        <v>54</v>
      </c>
      <c r="B53" s="74">
        <v>42596</v>
      </c>
      <c r="C53" s="75">
        <v>0.625</v>
      </c>
      <c r="D53" s="1">
        <v>525</v>
      </c>
      <c r="E53" s="1">
        <v>229</v>
      </c>
      <c r="F53" s="1">
        <v>15692</v>
      </c>
      <c r="G53" s="1" t="s">
        <v>5</v>
      </c>
      <c r="H53" s="1">
        <v>320</v>
      </c>
      <c r="I53" s="1" t="s">
        <v>79</v>
      </c>
      <c r="J53" s="1">
        <v>34</v>
      </c>
      <c r="K53" s="1" t="s">
        <v>68</v>
      </c>
    </row>
    <row r="54" spans="1:17" s="85" customFormat="1" x14ac:dyDescent="0.25">
      <c r="A54" s="1">
        <v>60</v>
      </c>
      <c r="B54" s="89">
        <v>42597</v>
      </c>
      <c r="C54" s="90">
        <v>0.625</v>
      </c>
      <c r="D54" s="72">
        <v>516</v>
      </c>
      <c r="E54" s="72">
        <v>225</v>
      </c>
      <c r="F54" s="72">
        <v>140211</v>
      </c>
      <c r="G54" s="72" t="s">
        <v>48</v>
      </c>
      <c r="H54" s="72">
        <v>200</v>
      </c>
      <c r="I54" s="72" t="s">
        <v>79</v>
      </c>
      <c r="J54" s="72">
        <v>34</v>
      </c>
      <c r="K54" s="72" t="s">
        <v>68</v>
      </c>
      <c r="L54" s="84" t="s">
        <v>85</v>
      </c>
    </row>
    <row r="55" spans="1:17" x14ac:dyDescent="0.25">
      <c r="A55" s="1">
        <v>56</v>
      </c>
      <c r="B55" s="74">
        <v>42593</v>
      </c>
      <c r="C55" s="75">
        <v>0.625</v>
      </c>
      <c r="D55" s="1">
        <v>525</v>
      </c>
      <c r="E55" s="1">
        <v>229</v>
      </c>
      <c r="F55" s="1">
        <v>15692</v>
      </c>
      <c r="G55" s="1" t="s">
        <v>5</v>
      </c>
      <c r="H55" s="1">
        <v>150</v>
      </c>
      <c r="I55" s="1" t="s">
        <v>79</v>
      </c>
      <c r="J55" s="1">
        <v>33</v>
      </c>
      <c r="K55" s="1" t="s">
        <v>68</v>
      </c>
    </row>
    <row r="56" spans="1:17" x14ac:dyDescent="0.25">
      <c r="A56" s="1">
        <v>57</v>
      </c>
      <c r="B56" s="74">
        <v>42593</v>
      </c>
      <c r="C56" s="75">
        <v>0.625</v>
      </c>
      <c r="D56" s="1">
        <v>525</v>
      </c>
      <c r="E56" s="1">
        <v>229</v>
      </c>
      <c r="F56" s="1">
        <v>2025</v>
      </c>
      <c r="G56" s="1" t="s">
        <v>47</v>
      </c>
      <c r="H56" s="1">
        <v>200</v>
      </c>
      <c r="I56" s="1" t="s">
        <v>79</v>
      </c>
      <c r="J56" s="1">
        <v>33</v>
      </c>
      <c r="K56" s="1" t="s">
        <v>68</v>
      </c>
    </row>
    <row r="57" spans="1:17" x14ac:dyDescent="0.25">
      <c r="A57" s="1">
        <v>58</v>
      </c>
      <c r="B57" s="74">
        <v>42596</v>
      </c>
      <c r="C57" s="75">
        <v>0.625</v>
      </c>
      <c r="D57" s="1">
        <v>533</v>
      </c>
      <c r="E57" s="1">
        <v>236</v>
      </c>
      <c r="F57" s="1">
        <v>2025</v>
      </c>
      <c r="G57" s="1" t="s">
        <v>47</v>
      </c>
      <c r="H57" s="1">
        <v>200</v>
      </c>
      <c r="I57" s="1" t="s">
        <v>79</v>
      </c>
      <c r="J57" s="1">
        <v>34</v>
      </c>
      <c r="K57" s="1" t="s">
        <v>68</v>
      </c>
    </row>
    <row r="58" spans="1:17" x14ac:dyDescent="0.25">
      <c r="A58" s="1">
        <v>59</v>
      </c>
      <c r="B58" s="74">
        <v>42593</v>
      </c>
      <c r="C58" s="75">
        <v>0.41666666666666669</v>
      </c>
      <c r="D58" s="1">
        <v>533</v>
      </c>
      <c r="E58" s="1">
        <v>236</v>
      </c>
      <c r="F58" s="1">
        <v>54213</v>
      </c>
      <c r="G58" s="1" t="s">
        <v>11</v>
      </c>
      <c r="H58" s="1">
        <v>200</v>
      </c>
      <c r="I58" s="1" t="s">
        <v>79</v>
      </c>
      <c r="J58" s="1">
        <v>33</v>
      </c>
      <c r="K58" s="1" t="s">
        <v>68</v>
      </c>
    </row>
    <row r="59" spans="1:17" x14ac:dyDescent="0.25">
      <c r="A59" s="1">
        <v>43</v>
      </c>
      <c r="B59" s="74">
        <v>42599</v>
      </c>
      <c r="C59" s="75">
        <v>0.67638888888888893</v>
      </c>
      <c r="D59" s="1">
        <v>516</v>
      </c>
      <c r="E59" s="1">
        <v>225</v>
      </c>
      <c r="F59" s="1">
        <v>54213</v>
      </c>
      <c r="G59" s="1" t="s">
        <v>11</v>
      </c>
      <c r="H59" s="1">
        <v>200</v>
      </c>
      <c r="I59" s="1" t="s">
        <v>79</v>
      </c>
      <c r="J59" s="1">
        <v>34</v>
      </c>
      <c r="K59" s="1" t="s">
        <v>70</v>
      </c>
      <c r="L59" s="1" t="s">
        <v>85</v>
      </c>
    </row>
    <row r="60" spans="1:17" x14ac:dyDescent="0.25">
      <c r="A60" s="1">
        <v>61</v>
      </c>
      <c r="B60" s="74">
        <v>42599</v>
      </c>
      <c r="C60" s="75">
        <v>0.625</v>
      </c>
      <c r="D60" s="1">
        <v>516</v>
      </c>
      <c r="E60" s="1">
        <v>225</v>
      </c>
      <c r="F60" s="1">
        <v>140211</v>
      </c>
      <c r="G60" s="1" t="s">
        <v>48</v>
      </c>
      <c r="H60" s="1">
        <v>200</v>
      </c>
      <c r="I60" s="1" t="s">
        <v>79</v>
      </c>
      <c r="J60" s="1">
        <v>34</v>
      </c>
      <c r="K60" s="1" t="s">
        <v>68</v>
      </c>
      <c r="L60" s="1" t="s">
        <v>85</v>
      </c>
      <c r="M60" s="91"/>
      <c r="N60" s="91"/>
      <c r="O60" s="91"/>
      <c r="P60" s="91"/>
      <c r="Q60" s="91"/>
    </row>
    <row r="61" spans="1:17" x14ac:dyDescent="0.25">
      <c r="A61" s="1">
        <v>62</v>
      </c>
      <c r="B61" s="74">
        <v>42600</v>
      </c>
      <c r="C61" s="75">
        <v>0.37013888888888885</v>
      </c>
      <c r="D61" s="1">
        <v>517</v>
      </c>
      <c r="E61" s="1">
        <v>226</v>
      </c>
      <c r="F61" s="1">
        <v>54213</v>
      </c>
      <c r="G61" s="1" t="s">
        <v>11</v>
      </c>
      <c r="H61" s="1">
        <v>200</v>
      </c>
      <c r="I61" s="1" t="s">
        <v>79</v>
      </c>
      <c r="J61" s="1">
        <v>34</v>
      </c>
      <c r="K61" s="1" t="s">
        <v>76</v>
      </c>
      <c r="L61" s="1" t="s">
        <v>85</v>
      </c>
    </row>
    <row r="62" spans="1:17" x14ac:dyDescent="0.25">
      <c r="A62" s="1">
        <v>63</v>
      </c>
      <c r="B62" s="74">
        <v>42600</v>
      </c>
      <c r="C62" s="75">
        <v>0.43124999999999997</v>
      </c>
      <c r="D62" s="1">
        <v>519</v>
      </c>
      <c r="E62" s="1">
        <v>228</v>
      </c>
      <c r="F62" s="1">
        <v>50717</v>
      </c>
      <c r="G62" s="1" t="s">
        <v>10</v>
      </c>
      <c r="H62" s="1">
        <v>200</v>
      </c>
      <c r="I62" s="1" t="s">
        <v>79</v>
      </c>
      <c r="J62" s="1">
        <v>34</v>
      </c>
      <c r="K62" s="1" t="s">
        <v>68</v>
      </c>
    </row>
    <row r="63" spans="1:17" x14ac:dyDescent="0.25">
      <c r="A63" s="1">
        <v>64</v>
      </c>
      <c r="B63" s="86"/>
      <c r="C63" s="87"/>
      <c r="D63" s="88"/>
      <c r="E63" s="88"/>
      <c r="F63" s="88"/>
      <c r="G63" s="88"/>
      <c r="H63" s="88"/>
      <c r="I63" s="88"/>
      <c r="J63" s="88"/>
      <c r="K63" s="88"/>
    </row>
    <row r="64" spans="1:17" x14ac:dyDescent="0.25">
      <c r="A64" s="1">
        <v>65</v>
      </c>
      <c r="B64" s="74">
        <v>42600</v>
      </c>
      <c r="C64" s="75">
        <v>0.43333333333333335</v>
      </c>
      <c r="D64" s="1">
        <v>519</v>
      </c>
      <c r="E64" s="1">
        <v>228</v>
      </c>
      <c r="F64" s="1">
        <v>15692</v>
      </c>
      <c r="G64" s="1" t="s">
        <v>5</v>
      </c>
      <c r="H64" s="1">
        <v>280</v>
      </c>
      <c r="I64" s="1" t="s">
        <v>79</v>
      </c>
      <c r="J64" s="1">
        <v>34</v>
      </c>
      <c r="K64" s="1" t="s">
        <v>68</v>
      </c>
    </row>
    <row r="65" spans="1:12" x14ac:dyDescent="0.25">
      <c r="A65" s="1">
        <v>66</v>
      </c>
      <c r="B65" s="74">
        <v>42600</v>
      </c>
      <c r="C65" s="75">
        <v>0.66319444444444442</v>
      </c>
      <c r="D65" s="1">
        <v>514</v>
      </c>
      <c r="E65" s="1">
        <v>128</v>
      </c>
      <c r="F65" s="1">
        <v>169379</v>
      </c>
      <c r="G65" s="1" t="s">
        <v>7</v>
      </c>
      <c r="H65" s="1">
        <v>200</v>
      </c>
      <c r="I65" s="1" t="s">
        <v>79</v>
      </c>
      <c r="J65" s="1">
        <v>34</v>
      </c>
      <c r="K65" s="1" t="s">
        <v>76</v>
      </c>
      <c r="L65" s="1" t="s">
        <v>87</v>
      </c>
    </row>
    <row r="66" spans="1:12" x14ac:dyDescent="0.25">
      <c r="A66" s="1">
        <v>67</v>
      </c>
      <c r="B66" s="74">
        <v>42600</v>
      </c>
      <c r="C66" s="75">
        <v>0.6645833333333333</v>
      </c>
      <c r="D66" s="1">
        <v>514</v>
      </c>
      <c r="E66" s="1">
        <v>128</v>
      </c>
      <c r="F66" s="1">
        <v>15702</v>
      </c>
      <c r="G66" s="1" t="s">
        <v>8</v>
      </c>
      <c r="H66" s="1">
        <v>200</v>
      </c>
      <c r="I66" s="1" t="s">
        <v>79</v>
      </c>
      <c r="J66" s="1">
        <v>34</v>
      </c>
      <c r="K66" s="1" t="s">
        <v>76</v>
      </c>
      <c r="L66" s="1" t="s">
        <v>85</v>
      </c>
    </row>
    <row r="67" spans="1:12" x14ac:dyDescent="0.25">
      <c r="A67" s="1">
        <v>68</v>
      </c>
      <c r="B67" s="74">
        <v>42600</v>
      </c>
      <c r="C67" s="75">
        <v>0.6645833333333333</v>
      </c>
      <c r="D67" s="1">
        <v>514</v>
      </c>
      <c r="E67" s="1">
        <v>128</v>
      </c>
      <c r="F67" s="1">
        <v>50717</v>
      </c>
      <c r="G67" s="1" t="s">
        <v>10</v>
      </c>
      <c r="H67" s="1">
        <v>200</v>
      </c>
      <c r="I67" s="1" t="s">
        <v>79</v>
      </c>
      <c r="J67" s="1">
        <v>34</v>
      </c>
      <c r="K67" s="1" t="s">
        <v>76</v>
      </c>
      <c r="L67" s="1" t="s">
        <v>85</v>
      </c>
    </row>
    <row r="68" spans="1:12" x14ac:dyDescent="0.25">
      <c r="A68" s="1">
        <v>69</v>
      </c>
      <c r="B68" s="74">
        <v>42600</v>
      </c>
      <c r="C68" s="75">
        <v>0.66527777777777775</v>
      </c>
      <c r="D68" s="1">
        <v>514</v>
      </c>
      <c r="E68" s="1">
        <v>128</v>
      </c>
      <c r="F68" s="1">
        <v>54213</v>
      </c>
      <c r="G68" s="1" t="s">
        <v>11</v>
      </c>
      <c r="H68" s="1">
        <v>200</v>
      </c>
      <c r="I68" s="1" t="s">
        <v>79</v>
      </c>
      <c r="J68" s="1">
        <v>34</v>
      </c>
      <c r="K68" s="1" t="s">
        <v>76</v>
      </c>
      <c r="L68" s="1" t="s">
        <v>85</v>
      </c>
    </row>
    <row r="69" spans="1:12" x14ac:dyDescent="0.25">
      <c r="A69" s="1">
        <v>70</v>
      </c>
      <c r="B69" s="74">
        <v>42600</v>
      </c>
      <c r="C69" s="75">
        <v>0.66527777777777775</v>
      </c>
      <c r="D69" s="1">
        <v>514</v>
      </c>
      <c r="E69" s="1">
        <v>128</v>
      </c>
      <c r="F69" s="1">
        <v>15699</v>
      </c>
      <c r="G69" s="1" t="s">
        <v>6</v>
      </c>
      <c r="H69" s="1">
        <v>200</v>
      </c>
      <c r="I69" s="1" t="s">
        <v>79</v>
      </c>
      <c r="J69" s="1">
        <v>34</v>
      </c>
      <c r="K69" s="1" t="s">
        <v>76</v>
      </c>
      <c r="L69" s="1" t="s">
        <v>85</v>
      </c>
    </row>
    <row r="70" spans="1:12" x14ac:dyDescent="0.25">
      <c r="A70" s="1">
        <v>71</v>
      </c>
      <c r="B70" s="74">
        <v>42601</v>
      </c>
      <c r="C70" s="75">
        <v>0.30694444444444441</v>
      </c>
      <c r="D70" s="1">
        <v>520</v>
      </c>
      <c r="E70" s="1">
        <v>237</v>
      </c>
      <c r="F70" s="1">
        <v>15692</v>
      </c>
      <c r="G70" s="1" t="s">
        <v>5</v>
      </c>
      <c r="H70" s="1">
        <v>200</v>
      </c>
      <c r="I70" s="1" t="s">
        <v>79</v>
      </c>
      <c r="J70" s="1">
        <v>34</v>
      </c>
      <c r="K70" s="1" t="s">
        <v>76</v>
      </c>
    </row>
    <row r="71" spans="1:12" x14ac:dyDescent="0.25">
      <c r="A71" s="1">
        <v>72</v>
      </c>
      <c r="B71" s="74">
        <v>42601</v>
      </c>
      <c r="C71" s="75">
        <v>0.44027777777777777</v>
      </c>
      <c r="D71" s="1">
        <v>519</v>
      </c>
      <c r="E71" s="1">
        <v>228</v>
      </c>
      <c r="F71" s="1">
        <v>107124</v>
      </c>
      <c r="G71" s="1" t="s">
        <v>4</v>
      </c>
      <c r="H71" s="1">
        <v>170</v>
      </c>
      <c r="I71" s="1" t="s">
        <v>79</v>
      </c>
      <c r="J71" s="1">
        <v>34</v>
      </c>
      <c r="K71" s="1" t="s">
        <v>76</v>
      </c>
    </row>
    <row r="72" spans="1:12" x14ac:dyDescent="0.25">
      <c r="A72" s="1">
        <v>73</v>
      </c>
      <c r="B72" s="74">
        <v>42601</v>
      </c>
      <c r="C72" s="75">
        <v>0.56597222222222221</v>
      </c>
      <c r="D72" s="1">
        <v>526</v>
      </c>
      <c r="E72" s="1">
        <v>239</v>
      </c>
      <c r="F72" s="1">
        <v>15692</v>
      </c>
      <c r="G72" s="1" t="s">
        <v>5</v>
      </c>
      <c r="H72" s="1">
        <v>200</v>
      </c>
      <c r="I72" s="1" t="s">
        <v>79</v>
      </c>
      <c r="J72" s="1">
        <v>34</v>
      </c>
      <c r="K72" s="1" t="s">
        <v>66</v>
      </c>
      <c r="L72" s="1" t="s">
        <v>85</v>
      </c>
    </row>
    <row r="73" spans="1:12" x14ac:dyDescent="0.25">
      <c r="A73" s="1">
        <v>74</v>
      </c>
      <c r="B73" s="74">
        <v>42601</v>
      </c>
      <c r="C73" s="75">
        <v>0.67499999999999993</v>
      </c>
      <c r="D73" s="1">
        <v>523</v>
      </c>
      <c r="E73" s="1">
        <v>234</v>
      </c>
      <c r="F73" s="1">
        <v>15692</v>
      </c>
      <c r="G73" s="1" t="s">
        <v>5</v>
      </c>
      <c r="H73" s="1">
        <v>200</v>
      </c>
      <c r="I73" s="1" t="s">
        <v>79</v>
      </c>
      <c r="J73" s="1">
        <v>34</v>
      </c>
      <c r="K73" s="1" t="s">
        <v>77</v>
      </c>
    </row>
    <row r="74" spans="1:12" x14ac:dyDescent="0.25">
      <c r="A74" s="1">
        <v>75</v>
      </c>
      <c r="B74" s="74">
        <v>42601</v>
      </c>
      <c r="C74" s="75">
        <v>0.67569444444444438</v>
      </c>
      <c r="D74" s="1">
        <v>523</v>
      </c>
      <c r="E74" s="1">
        <v>234</v>
      </c>
      <c r="F74" s="1">
        <v>15696</v>
      </c>
      <c r="G74" s="1" t="s">
        <v>46</v>
      </c>
      <c r="H74" s="1">
        <v>200</v>
      </c>
      <c r="I74" s="1" t="s">
        <v>79</v>
      </c>
      <c r="J74" s="1">
        <v>34</v>
      </c>
      <c r="K74" s="1" t="s">
        <v>77</v>
      </c>
    </row>
    <row r="75" spans="1:12" x14ac:dyDescent="0.25">
      <c r="A75" s="1">
        <v>76</v>
      </c>
      <c r="B75" s="74">
        <v>42601</v>
      </c>
      <c r="C75" s="75">
        <v>0.72430555555555554</v>
      </c>
      <c r="D75" s="1">
        <v>528</v>
      </c>
      <c r="E75" s="1">
        <v>230</v>
      </c>
      <c r="F75" s="1">
        <v>15692</v>
      </c>
      <c r="G75" s="1" t="s">
        <v>5</v>
      </c>
      <c r="H75" s="1">
        <v>200</v>
      </c>
      <c r="I75" s="1" t="s">
        <v>79</v>
      </c>
      <c r="J75" s="1">
        <v>34</v>
      </c>
      <c r="K75" s="1" t="s">
        <v>77</v>
      </c>
    </row>
    <row r="76" spans="1:12" x14ac:dyDescent="0.25">
      <c r="A76" s="1">
        <v>77</v>
      </c>
      <c r="B76" s="74">
        <v>42602</v>
      </c>
      <c r="C76" s="75">
        <v>0.29930555555555555</v>
      </c>
      <c r="D76" s="1">
        <v>520</v>
      </c>
      <c r="E76" s="1">
        <v>237</v>
      </c>
      <c r="F76" s="1">
        <v>15692</v>
      </c>
      <c r="G76" s="1" t="s">
        <v>5</v>
      </c>
      <c r="H76" s="1">
        <v>200</v>
      </c>
      <c r="I76" s="1" t="s">
        <v>79</v>
      </c>
      <c r="J76" s="1">
        <v>34</v>
      </c>
      <c r="K76" s="1" t="s">
        <v>76</v>
      </c>
    </row>
    <row r="77" spans="1:12" x14ac:dyDescent="0.25">
      <c r="A77" s="1">
        <v>78</v>
      </c>
      <c r="B77" s="74">
        <v>42602</v>
      </c>
      <c r="C77" s="75">
        <v>0.31527777777777777</v>
      </c>
      <c r="D77" s="1">
        <v>518</v>
      </c>
      <c r="E77" s="1">
        <v>227</v>
      </c>
      <c r="F77" s="1">
        <v>15692</v>
      </c>
      <c r="G77" s="1" t="s">
        <v>5</v>
      </c>
      <c r="H77" s="1">
        <v>300</v>
      </c>
      <c r="I77" s="1" t="s">
        <v>79</v>
      </c>
      <c r="J77" s="1">
        <v>34</v>
      </c>
      <c r="K77" s="1" t="s">
        <v>76</v>
      </c>
    </row>
  </sheetData>
  <conditionalFormatting sqref="L1:L1048576 M60">
    <cfRule type="cellIs" dxfId="1" priority="1" operator="equal">
      <formula>"não"</formula>
    </cfRule>
    <cfRule type="cellIs" dxfId="0" priority="2" operator="equal">
      <formula>"ok"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"/>
  <sheetViews>
    <sheetView showGridLines="0" showRowColHeaders="0" tabSelected="1" zoomScale="115" zoomScaleNormal="115" workbookViewId="0">
      <selection activeCell="U14" sqref="U1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D1:GT51"/>
  <sheetViews>
    <sheetView view="pageBreakPreview" zoomScale="90" zoomScaleNormal="130" zoomScaleSheetLayoutView="90" zoomScalePageLayoutView="115" workbookViewId="0">
      <selection activeCell="ID29" sqref="ID29"/>
    </sheetView>
  </sheetViews>
  <sheetFormatPr defaultColWidth="0.5703125" defaultRowHeight="15" x14ac:dyDescent="0.25"/>
  <cols>
    <col min="1" max="3" width="0.140625" customWidth="1"/>
    <col min="4" max="5" width="0.5703125" customWidth="1"/>
    <col min="13" max="13" width="0.5703125" customWidth="1"/>
    <col min="29" max="29" width="0.5703125" customWidth="1"/>
    <col min="38" max="38" width="0.42578125" hidden="1" customWidth="1"/>
    <col min="39" max="39" width="0.5703125" hidden="1" customWidth="1"/>
    <col min="40" max="40" width="0.42578125" hidden="1" customWidth="1"/>
    <col min="41" max="45" width="0.5703125" hidden="1" customWidth="1"/>
  </cols>
  <sheetData>
    <row r="1" spans="4:202" ht="3.75" customHeight="1" x14ac:dyDescent="0.25"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61"/>
      <c r="EA1" s="61"/>
      <c r="EB1" s="61"/>
      <c r="EC1" s="61"/>
      <c r="ED1" s="61"/>
      <c r="EE1" s="61"/>
      <c r="EF1" s="61"/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61"/>
      <c r="FL1" s="61"/>
      <c r="FM1" s="61"/>
      <c r="FN1" s="61"/>
      <c r="FO1" s="61"/>
      <c r="FP1" s="61"/>
      <c r="FQ1" s="61"/>
      <c r="FR1" s="61"/>
      <c r="FS1" s="61"/>
      <c r="FT1" s="61"/>
      <c r="FU1" s="61"/>
      <c r="FV1" s="61"/>
      <c r="FW1" s="61"/>
      <c r="FX1" s="61"/>
      <c r="FY1" s="61"/>
      <c r="FZ1" s="61"/>
      <c r="GA1" s="61"/>
      <c r="GB1" s="61"/>
      <c r="GC1" s="61"/>
      <c r="GD1" s="61"/>
      <c r="GE1" s="61"/>
      <c r="GF1" s="61"/>
      <c r="GG1" s="61"/>
      <c r="GH1" s="61"/>
      <c r="GI1" s="61"/>
      <c r="GJ1" s="61"/>
      <c r="GK1" s="61"/>
      <c r="GL1" s="61"/>
      <c r="GM1" s="61"/>
      <c r="GN1" s="61"/>
      <c r="GO1" s="61"/>
      <c r="GP1" s="61"/>
      <c r="GQ1" s="61"/>
      <c r="GR1" s="61"/>
    </row>
    <row r="2" spans="4:202" x14ac:dyDescent="0.25"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8" t="s">
        <v>63</v>
      </c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169"/>
      <c r="AK2" s="169"/>
      <c r="AL2" s="169"/>
      <c r="AM2" s="169"/>
      <c r="AN2" s="169"/>
      <c r="AO2" s="169"/>
      <c r="AP2" s="169"/>
      <c r="AQ2" s="169"/>
      <c r="AR2" s="169"/>
      <c r="AS2" s="169"/>
      <c r="AT2" s="169"/>
      <c r="AU2" s="169"/>
      <c r="AV2" s="169"/>
      <c r="AW2" s="169"/>
      <c r="AX2" s="169"/>
      <c r="AY2" s="169"/>
      <c r="AZ2" s="169"/>
      <c r="BA2" s="169"/>
      <c r="BB2" s="169"/>
      <c r="BC2" s="169"/>
      <c r="BD2" s="169"/>
      <c r="BE2" s="169"/>
      <c r="BF2" s="169"/>
      <c r="BG2" s="169"/>
      <c r="BH2" s="169"/>
      <c r="BI2" s="169"/>
      <c r="BJ2" s="169"/>
      <c r="BK2" s="169"/>
      <c r="BL2" s="169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69"/>
      <c r="BX2" s="169"/>
      <c r="BY2" s="169"/>
      <c r="BZ2" s="169"/>
      <c r="CA2" s="169"/>
      <c r="CB2" s="169"/>
      <c r="CC2" s="169"/>
      <c r="CD2" s="169"/>
      <c r="CE2" s="169"/>
      <c r="CF2" s="169"/>
      <c r="CG2" s="169"/>
      <c r="CH2" s="169"/>
      <c r="CI2" s="169"/>
      <c r="CJ2" s="169"/>
      <c r="CK2" s="169"/>
      <c r="CL2" s="169"/>
      <c r="CM2" s="169"/>
      <c r="CN2" s="169"/>
      <c r="CO2" s="169"/>
      <c r="CP2" s="169"/>
      <c r="CQ2" s="169"/>
      <c r="CR2" s="169"/>
      <c r="CS2" s="169"/>
      <c r="CT2" s="169"/>
      <c r="CU2" s="169"/>
      <c r="CV2" s="169"/>
      <c r="CW2" s="169"/>
      <c r="CX2" s="169"/>
      <c r="CY2" s="169"/>
      <c r="CZ2" s="169"/>
      <c r="DA2" s="169"/>
      <c r="DB2" s="169"/>
      <c r="DC2" s="169"/>
      <c r="DD2" s="169"/>
      <c r="DE2" s="169"/>
      <c r="DF2" s="169"/>
      <c r="DG2" s="169"/>
      <c r="DH2" s="169"/>
      <c r="DI2" s="169"/>
      <c r="DJ2" s="169"/>
      <c r="DK2" s="169"/>
      <c r="DL2" s="169"/>
      <c r="DM2" s="169"/>
      <c r="DN2" s="169"/>
      <c r="DO2" s="169"/>
      <c r="DP2" s="169"/>
      <c r="DQ2" s="169"/>
      <c r="DR2" s="169"/>
      <c r="DS2" s="169"/>
      <c r="DT2" s="169"/>
      <c r="DU2" s="169"/>
      <c r="DV2" s="169"/>
      <c r="DW2" s="169"/>
      <c r="DX2" s="169"/>
      <c r="DY2" s="169"/>
      <c r="DZ2" s="169"/>
      <c r="EA2" s="169"/>
      <c r="EB2" s="169"/>
      <c r="EC2" s="169"/>
      <c r="ED2" s="169"/>
      <c r="EE2" s="169"/>
      <c r="EF2" s="169"/>
      <c r="EG2" s="169"/>
      <c r="EH2" s="169"/>
      <c r="EI2" s="169"/>
      <c r="EJ2" s="169"/>
      <c r="EK2" s="169"/>
      <c r="EL2" s="169"/>
      <c r="EM2" s="169"/>
      <c r="EN2" s="169"/>
      <c r="EO2" s="169"/>
      <c r="EP2" s="169"/>
      <c r="EQ2" s="169"/>
      <c r="ER2" s="169"/>
      <c r="ES2" s="169"/>
      <c r="ET2" s="169"/>
      <c r="EU2" s="169"/>
      <c r="EV2" s="169"/>
      <c r="EW2" s="169"/>
      <c r="EX2" s="169"/>
      <c r="EY2" s="169"/>
      <c r="EZ2" s="169"/>
      <c r="FA2" s="169"/>
      <c r="FB2" s="169"/>
      <c r="FC2" s="169"/>
      <c r="FD2" s="169"/>
      <c r="FE2" s="169"/>
      <c r="FF2" s="169"/>
      <c r="FG2" s="169"/>
      <c r="FH2" s="169"/>
      <c r="FI2" s="169"/>
      <c r="FJ2" s="169"/>
      <c r="FK2" s="169"/>
      <c r="FL2" s="169"/>
      <c r="FM2" s="169"/>
      <c r="FN2" s="169"/>
      <c r="FO2" s="169"/>
      <c r="FP2" s="169"/>
      <c r="FQ2" s="169"/>
      <c r="FR2" s="169"/>
      <c r="FS2" s="169"/>
      <c r="FT2" s="169"/>
      <c r="FU2" s="169"/>
      <c r="FV2" s="169"/>
      <c r="FW2" s="170"/>
      <c r="FX2" s="62"/>
      <c r="FY2" s="62"/>
      <c r="FZ2" s="62"/>
      <c r="GA2" s="62"/>
      <c r="GB2" s="62"/>
      <c r="GC2" s="62"/>
      <c r="GD2" s="62"/>
      <c r="GE2" s="62"/>
      <c r="GF2" s="61"/>
      <c r="GG2" s="61"/>
      <c r="GH2" s="61"/>
      <c r="GI2" s="61"/>
      <c r="GJ2" s="61"/>
      <c r="GK2" s="61"/>
      <c r="GL2" s="61"/>
      <c r="GM2" s="61"/>
      <c r="GN2" s="61"/>
      <c r="GO2" s="61"/>
      <c r="GP2" s="61"/>
      <c r="GQ2" s="61"/>
      <c r="GR2" s="61"/>
    </row>
    <row r="3" spans="4:202" ht="17.25" customHeight="1" x14ac:dyDescent="0.25"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67"/>
      <c r="S3" s="167"/>
      <c r="T3" s="167"/>
      <c r="U3" s="167"/>
      <c r="V3" s="167"/>
      <c r="W3" s="171"/>
      <c r="X3" s="172"/>
      <c r="Y3" s="172"/>
      <c r="Z3" s="172"/>
      <c r="AA3" s="172"/>
      <c r="AB3" s="172"/>
      <c r="AC3" s="172"/>
      <c r="AD3" s="172"/>
      <c r="AE3" s="172"/>
      <c r="AF3" s="172"/>
      <c r="AG3" s="172"/>
      <c r="AH3" s="172"/>
      <c r="AI3" s="172"/>
      <c r="AJ3" s="172"/>
      <c r="AK3" s="172"/>
      <c r="AL3" s="172"/>
      <c r="AM3" s="172"/>
      <c r="AN3" s="172"/>
      <c r="AO3" s="172"/>
      <c r="AP3" s="172"/>
      <c r="AQ3" s="172"/>
      <c r="AR3" s="172"/>
      <c r="AS3" s="172"/>
      <c r="AT3" s="172"/>
      <c r="AU3" s="172"/>
      <c r="AV3" s="172"/>
      <c r="AW3" s="172"/>
      <c r="AX3" s="172"/>
      <c r="AY3" s="172"/>
      <c r="AZ3" s="172"/>
      <c r="BA3" s="172"/>
      <c r="BB3" s="172"/>
      <c r="BC3" s="172"/>
      <c r="BD3" s="172"/>
      <c r="BE3" s="172"/>
      <c r="BF3" s="172"/>
      <c r="BG3" s="172"/>
      <c r="BH3" s="172"/>
      <c r="BI3" s="172"/>
      <c r="BJ3" s="172"/>
      <c r="BK3" s="172"/>
      <c r="BL3" s="172"/>
      <c r="BM3" s="172"/>
      <c r="BN3" s="172"/>
      <c r="BO3" s="172"/>
      <c r="BP3" s="172"/>
      <c r="BQ3" s="172"/>
      <c r="BR3" s="172"/>
      <c r="BS3" s="172"/>
      <c r="BT3" s="172"/>
      <c r="BU3" s="172"/>
      <c r="BV3" s="172"/>
      <c r="BW3" s="172"/>
      <c r="BX3" s="172"/>
      <c r="BY3" s="172"/>
      <c r="BZ3" s="172"/>
      <c r="CA3" s="172"/>
      <c r="CB3" s="172"/>
      <c r="CC3" s="172"/>
      <c r="CD3" s="172"/>
      <c r="CE3" s="172"/>
      <c r="CF3" s="172"/>
      <c r="CG3" s="172"/>
      <c r="CH3" s="172"/>
      <c r="CI3" s="172"/>
      <c r="CJ3" s="172"/>
      <c r="CK3" s="172"/>
      <c r="CL3" s="172"/>
      <c r="CM3" s="172"/>
      <c r="CN3" s="172"/>
      <c r="CO3" s="172"/>
      <c r="CP3" s="172"/>
      <c r="CQ3" s="172"/>
      <c r="CR3" s="172"/>
      <c r="CS3" s="172"/>
      <c r="CT3" s="172"/>
      <c r="CU3" s="172"/>
      <c r="CV3" s="172"/>
      <c r="CW3" s="172"/>
      <c r="CX3" s="172"/>
      <c r="CY3" s="172"/>
      <c r="CZ3" s="172"/>
      <c r="DA3" s="172"/>
      <c r="DB3" s="172"/>
      <c r="DC3" s="172"/>
      <c r="DD3" s="172"/>
      <c r="DE3" s="172"/>
      <c r="DF3" s="172"/>
      <c r="DG3" s="172"/>
      <c r="DH3" s="172"/>
      <c r="DI3" s="172"/>
      <c r="DJ3" s="172"/>
      <c r="DK3" s="172"/>
      <c r="DL3" s="172"/>
      <c r="DM3" s="172"/>
      <c r="DN3" s="172"/>
      <c r="DO3" s="172"/>
      <c r="DP3" s="172"/>
      <c r="DQ3" s="172"/>
      <c r="DR3" s="172"/>
      <c r="DS3" s="172"/>
      <c r="DT3" s="172"/>
      <c r="DU3" s="172"/>
      <c r="DV3" s="172"/>
      <c r="DW3" s="172"/>
      <c r="DX3" s="172"/>
      <c r="DY3" s="172"/>
      <c r="DZ3" s="172"/>
      <c r="EA3" s="172"/>
      <c r="EB3" s="172"/>
      <c r="EC3" s="172"/>
      <c r="ED3" s="172"/>
      <c r="EE3" s="172"/>
      <c r="EF3" s="172"/>
      <c r="EG3" s="172"/>
      <c r="EH3" s="172"/>
      <c r="EI3" s="172"/>
      <c r="EJ3" s="172"/>
      <c r="EK3" s="172"/>
      <c r="EL3" s="172"/>
      <c r="EM3" s="172"/>
      <c r="EN3" s="172"/>
      <c r="EO3" s="172"/>
      <c r="EP3" s="172"/>
      <c r="EQ3" s="172"/>
      <c r="ER3" s="172"/>
      <c r="ES3" s="172"/>
      <c r="ET3" s="172"/>
      <c r="EU3" s="172"/>
      <c r="EV3" s="172"/>
      <c r="EW3" s="172"/>
      <c r="EX3" s="172"/>
      <c r="EY3" s="172"/>
      <c r="EZ3" s="172"/>
      <c r="FA3" s="172"/>
      <c r="FB3" s="172"/>
      <c r="FC3" s="172"/>
      <c r="FD3" s="172"/>
      <c r="FE3" s="172"/>
      <c r="FF3" s="172"/>
      <c r="FG3" s="172"/>
      <c r="FH3" s="172"/>
      <c r="FI3" s="172"/>
      <c r="FJ3" s="172"/>
      <c r="FK3" s="172"/>
      <c r="FL3" s="172"/>
      <c r="FM3" s="172"/>
      <c r="FN3" s="172"/>
      <c r="FO3" s="172"/>
      <c r="FP3" s="172"/>
      <c r="FQ3" s="172"/>
      <c r="FR3" s="172"/>
      <c r="FS3" s="172"/>
      <c r="FT3" s="172"/>
      <c r="FU3" s="172"/>
      <c r="FV3" s="172"/>
      <c r="FW3" s="173"/>
      <c r="FX3" s="62"/>
      <c r="FY3" s="62"/>
      <c r="FZ3" s="62"/>
      <c r="GA3" s="62"/>
      <c r="GB3" s="62"/>
      <c r="GC3" s="62"/>
      <c r="GD3" s="62"/>
      <c r="GE3" s="62"/>
      <c r="GF3" s="61"/>
      <c r="GG3" s="61"/>
      <c r="GH3" s="61"/>
      <c r="GI3" s="61"/>
      <c r="GJ3" s="61"/>
      <c r="GK3" s="61"/>
      <c r="GL3" s="61"/>
      <c r="GM3" s="61"/>
      <c r="GN3" s="61"/>
      <c r="GO3" s="61"/>
      <c r="GP3" s="61"/>
      <c r="GQ3" s="61"/>
      <c r="GR3" s="61"/>
    </row>
    <row r="4" spans="4:202" s="68" customFormat="1" ht="11.25" customHeight="1" x14ac:dyDescent="0.25">
      <c r="E4" s="139" t="s">
        <v>84</v>
      </c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1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AQ4" s="145"/>
      <c r="AR4" s="145"/>
      <c r="AS4" s="145"/>
      <c r="AT4" s="145"/>
      <c r="AU4" s="145"/>
      <c r="AV4" s="145"/>
      <c r="AW4" s="145"/>
      <c r="AX4" s="145"/>
      <c r="AY4" s="145"/>
      <c r="AZ4" s="145"/>
      <c r="BA4" s="145"/>
      <c r="BB4" s="145"/>
      <c r="BC4" s="145"/>
      <c r="BD4" s="145"/>
      <c r="BE4" s="145"/>
      <c r="BF4" s="145"/>
      <c r="BG4" s="145"/>
      <c r="BH4" s="145"/>
      <c r="BI4" s="145"/>
      <c r="BJ4" s="145"/>
      <c r="BK4" s="145"/>
      <c r="BL4" s="145"/>
      <c r="BM4" s="145"/>
      <c r="BN4" s="145"/>
      <c r="BO4" s="145"/>
      <c r="BP4" s="145"/>
      <c r="BQ4" s="145"/>
      <c r="BR4" s="145"/>
      <c r="BS4" s="145"/>
      <c r="BT4" s="145"/>
      <c r="BU4" s="145"/>
      <c r="BV4" s="145"/>
      <c r="BW4" s="145"/>
      <c r="BX4" s="145"/>
      <c r="BY4" s="145"/>
      <c r="BZ4" s="145"/>
      <c r="CA4" s="145"/>
      <c r="CB4" s="145"/>
      <c r="CC4" s="145"/>
      <c r="CD4" s="145"/>
      <c r="CE4" s="145"/>
      <c r="CF4" s="145"/>
      <c r="CG4" s="145"/>
      <c r="CH4" s="145"/>
      <c r="CI4" s="145"/>
      <c r="CJ4" s="145"/>
      <c r="CK4" s="145"/>
      <c r="CL4" s="145"/>
      <c r="CM4" s="145"/>
      <c r="CN4" s="145"/>
      <c r="CO4" s="145"/>
      <c r="CP4" s="145"/>
      <c r="CQ4" s="145"/>
      <c r="CR4" s="145"/>
      <c r="CS4" s="145"/>
      <c r="CT4" s="145"/>
      <c r="CU4" s="145"/>
      <c r="CV4" s="145"/>
      <c r="CW4" s="145"/>
      <c r="CX4" s="145"/>
      <c r="CY4" s="145"/>
      <c r="CZ4" s="145"/>
      <c r="DA4" s="145"/>
      <c r="DB4" s="145"/>
      <c r="DC4" s="145"/>
      <c r="DD4" s="145"/>
      <c r="DE4" s="145"/>
      <c r="DF4" s="145"/>
      <c r="DG4" s="145"/>
      <c r="DH4" s="145"/>
      <c r="DI4" s="145"/>
      <c r="DJ4" s="145"/>
      <c r="DK4" s="145"/>
      <c r="DL4" s="145"/>
      <c r="DM4" s="145"/>
      <c r="DN4" s="145"/>
      <c r="DO4" s="145"/>
      <c r="DP4" s="145"/>
      <c r="DQ4" s="145"/>
      <c r="DR4" s="145"/>
      <c r="DS4" s="145"/>
      <c r="DT4" s="145"/>
      <c r="DU4" s="145"/>
      <c r="DV4" s="145"/>
      <c r="DW4" s="145"/>
      <c r="DX4" s="145"/>
      <c r="DY4" s="145"/>
      <c r="DZ4" s="145"/>
      <c r="EA4" s="145"/>
      <c r="EB4" s="145"/>
      <c r="EC4" s="145"/>
      <c r="ED4" s="145"/>
      <c r="EE4" s="145"/>
      <c r="EF4" s="145"/>
      <c r="EG4" s="145"/>
      <c r="EH4" s="145"/>
      <c r="EI4" s="145"/>
      <c r="EJ4" s="162" t="s">
        <v>51</v>
      </c>
      <c r="EK4" s="162"/>
      <c r="EL4" s="162"/>
      <c r="EM4" s="162"/>
      <c r="EN4" s="162"/>
      <c r="EO4" s="162"/>
      <c r="EP4" s="162"/>
      <c r="EQ4" s="162"/>
      <c r="ER4" s="162"/>
      <c r="ES4" s="162"/>
      <c r="ET4" s="162"/>
      <c r="EU4" s="162"/>
      <c r="EV4" s="162"/>
      <c r="EW4" s="162"/>
      <c r="EX4" s="162"/>
      <c r="EY4" s="162"/>
      <c r="EZ4" s="162"/>
      <c r="FA4" s="162" t="s">
        <v>52</v>
      </c>
      <c r="FB4" s="162"/>
      <c r="FC4" s="162"/>
      <c r="FD4" s="162"/>
      <c r="FE4" s="162"/>
      <c r="FF4" s="162"/>
      <c r="FG4" s="162"/>
      <c r="FH4" s="162"/>
      <c r="FI4" s="162"/>
      <c r="FJ4" s="162"/>
      <c r="FK4" s="162"/>
      <c r="FL4" s="163" t="s">
        <v>53</v>
      </c>
      <c r="FM4" s="164"/>
      <c r="FN4" s="164"/>
      <c r="FO4" s="164"/>
      <c r="FP4" s="164"/>
      <c r="FQ4" s="164"/>
      <c r="FR4" s="164"/>
      <c r="FS4" s="164"/>
      <c r="FT4" s="164"/>
      <c r="FU4" s="164"/>
      <c r="FV4" s="164"/>
      <c r="FW4" s="165"/>
      <c r="FX4" s="67"/>
      <c r="FY4" s="67"/>
      <c r="FZ4" s="67"/>
      <c r="GA4" s="67"/>
      <c r="GB4" s="67"/>
      <c r="GC4" s="67"/>
      <c r="GD4" s="67"/>
      <c r="GE4" s="67"/>
      <c r="GF4" s="67"/>
      <c r="GG4" s="67"/>
      <c r="GH4" s="67"/>
      <c r="GI4" s="67"/>
      <c r="GJ4" s="67"/>
      <c r="GK4" s="67"/>
      <c r="GL4" s="67"/>
      <c r="GM4" s="67"/>
      <c r="GN4" s="67"/>
      <c r="GO4" s="67"/>
      <c r="GP4" s="67"/>
      <c r="GQ4" s="67"/>
      <c r="GR4" s="67"/>
    </row>
    <row r="5" spans="4:202" ht="9.75" customHeight="1" x14ac:dyDescent="0.25">
      <c r="E5" s="142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4"/>
      <c r="W5" s="146"/>
      <c r="X5" s="146"/>
      <c r="Y5" s="146"/>
      <c r="Z5" s="146"/>
      <c r="AA5" s="146"/>
      <c r="AB5" s="146"/>
      <c r="AC5" s="146"/>
      <c r="AD5" s="146"/>
      <c r="AE5" s="146"/>
      <c r="AF5" s="146"/>
      <c r="AG5" s="146"/>
      <c r="AH5" s="146"/>
      <c r="AI5" s="146"/>
      <c r="AJ5" s="146"/>
      <c r="AK5" s="146"/>
      <c r="AL5" s="146"/>
      <c r="AM5" s="146"/>
      <c r="AN5" s="146"/>
      <c r="AO5" s="146"/>
      <c r="AP5" s="146"/>
      <c r="AQ5" s="146"/>
      <c r="AR5" s="146"/>
      <c r="AS5" s="146"/>
      <c r="AT5" s="146"/>
      <c r="AU5" s="146"/>
      <c r="AV5" s="146"/>
      <c r="AW5" s="146"/>
      <c r="AX5" s="146"/>
      <c r="AY5" s="146"/>
      <c r="AZ5" s="146"/>
      <c r="BA5" s="146"/>
      <c r="BB5" s="146"/>
      <c r="BC5" s="146"/>
      <c r="BD5" s="146"/>
      <c r="BE5" s="146"/>
      <c r="BF5" s="146"/>
      <c r="BG5" s="146"/>
      <c r="BH5" s="146"/>
      <c r="BI5" s="146"/>
      <c r="BJ5" s="146"/>
      <c r="BK5" s="146"/>
      <c r="BL5" s="146"/>
      <c r="BM5" s="146"/>
      <c r="BN5" s="146"/>
      <c r="BO5" s="146"/>
      <c r="BP5" s="146"/>
      <c r="BQ5" s="146"/>
      <c r="BR5" s="146"/>
      <c r="BS5" s="146"/>
      <c r="BT5" s="146"/>
      <c r="BU5" s="146"/>
      <c r="BV5" s="146"/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  <c r="CN5" s="146"/>
      <c r="CO5" s="146"/>
      <c r="CP5" s="146"/>
      <c r="CQ5" s="146"/>
      <c r="CR5" s="146"/>
      <c r="CS5" s="146"/>
      <c r="CT5" s="146"/>
      <c r="CU5" s="146"/>
      <c r="CV5" s="146"/>
      <c r="CW5" s="146"/>
      <c r="CX5" s="146"/>
      <c r="CY5" s="146"/>
      <c r="CZ5" s="146"/>
      <c r="DA5" s="146"/>
      <c r="DB5" s="146"/>
      <c r="DC5" s="146"/>
      <c r="DD5" s="146"/>
      <c r="DE5" s="146"/>
      <c r="DF5" s="146"/>
      <c r="DG5" s="146"/>
      <c r="DH5" s="146"/>
      <c r="DI5" s="146"/>
      <c r="DJ5" s="146"/>
      <c r="DK5" s="146"/>
      <c r="DL5" s="146"/>
      <c r="DM5" s="146"/>
      <c r="DN5" s="146"/>
      <c r="DO5" s="146"/>
      <c r="DP5" s="146"/>
      <c r="DQ5" s="146"/>
      <c r="DR5" s="146"/>
      <c r="DS5" s="146"/>
      <c r="DT5" s="146"/>
      <c r="DU5" s="146"/>
      <c r="DV5" s="146"/>
      <c r="DW5" s="146"/>
      <c r="DX5" s="146"/>
      <c r="DY5" s="146"/>
      <c r="DZ5" s="146"/>
      <c r="EA5" s="146"/>
      <c r="EB5" s="146"/>
      <c r="EC5" s="146"/>
      <c r="ED5" s="146"/>
      <c r="EE5" s="146"/>
      <c r="EF5" s="146"/>
      <c r="EG5" s="146"/>
      <c r="EH5" s="146"/>
      <c r="EI5" s="146"/>
      <c r="EJ5" s="146"/>
      <c r="EK5" s="146"/>
      <c r="EL5" s="146"/>
      <c r="EM5" s="146"/>
      <c r="EN5" s="146"/>
      <c r="EO5" s="146"/>
      <c r="EP5" s="146"/>
      <c r="EQ5" s="146"/>
      <c r="ER5" s="146"/>
      <c r="ES5" s="146"/>
      <c r="ET5" s="146"/>
      <c r="EU5" s="146"/>
      <c r="EV5" s="146"/>
      <c r="EW5" s="146"/>
      <c r="EX5" s="146"/>
      <c r="EY5" s="146"/>
      <c r="EZ5" s="146"/>
      <c r="FA5" s="146"/>
      <c r="FB5" s="146"/>
      <c r="FC5" s="146"/>
      <c r="FD5" s="146"/>
      <c r="FE5" s="146"/>
      <c r="FF5" s="146"/>
      <c r="FG5" s="146"/>
      <c r="FH5" s="146"/>
      <c r="FI5" s="146"/>
      <c r="FJ5" s="146"/>
      <c r="FK5" s="146"/>
      <c r="FL5" s="147"/>
      <c r="FM5" s="148"/>
      <c r="FN5" s="148"/>
      <c r="FO5" s="148"/>
      <c r="FP5" s="148"/>
      <c r="FQ5" s="148"/>
      <c r="FR5" s="148"/>
      <c r="FS5" s="148"/>
      <c r="FT5" s="148"/>
      <c r="FU5" s="148"/>
      <c r="FV5" s="148"/>
      <c r="FW5" s="149"/>
      <c r="FX5" s="61"/>
      <c r="FY5" s="61"/>
      <c r="FZ5" s="61"/>
      <c r="GA5" s="61"/>
      <c r="GB5" s="61"/>
      <c r="GC5" s="61"/>
      <c r="GD5" s="61"/>
      <c r="GE5" s="61"/>
      <c r="GF5" s="61"/>
      <c r="GG5" s="61"/>
      <c r="GH5" s="61"/>
      <c r="GI5" s="61"/>
      <c r="GJ5" s="61"/>
      <c r="GK5" s="61"/>
      <c r="GL5" s="61"/>
      <c r="GM5" s="61"/>
      <c r="GN5" s="61"/>
      <c r="GO5" s="61"/>
      <c r="GP5" s="61"/>
      <c r="GQ5" s="61"/>
      <c r="GR5" s="61"/>
    </row>
    <row r="6" spans="4:202" ht="3" customHeight="1" x14ac:dyDescent="0.25"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1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</row>
    <row r="7" spans="4:202" x14ac:dyDescent="0.25">
      <c r="E7" s="150" t="s">
        <v>54</v>
      </c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  <c r="AD7" s="152"/>
      <c r="AE7" s="106" t="s">
        <v>50</v>
      </c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107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8"/>
      <c r="BM7" s="159" t="s">
        <v>57</v>
      </c>
      <c r="BN7" s="160"/>
      <c r="BO7" s="160"/>
      <c r="BP7" s="160"/>
      <c r="BQ7" s="160"/>
      <c r="BR7" s="160"/>
      <c r="BS7" s="160"/>
      <c r="BT7" s="160"/>
      <c r="BU7" s="160"/>
      <c r="BV7" s="160"/>
      <c r="BW7" s="160"/>
      <c r="BX7" s="160"/>
      <c r="BY7" s="160"/>
      <c r="BZ7" s="160"/>
      <c r="CA7" s="160"/>
      <c r="CB7" s="160"/>
      <c r="CC7" s="160"/>
      <c r="CD7" s="160"/>
      <c r="CE7" s="160"/>
      <c r="CF7" s="160"/>
      <c r="CG7" s="160"/>
      <c r="CH7" s="160"/>
      <c r="CI7" s="161"/>
      <c r="CJ7" s="106" t="s">
        <v>58</v>
      </c>
      <c r="CK7" s="107"/>
      <c r="CL7" s="107"/>
      <c r="CM7" s="107"/>
      <c r="CN7" s="107"/>
      <c r="CO7" s="107"/>
      <c r="CP7" s="107"/>
      <c r="CQ7" s="107"/>
      <c r="CR7" s="107"/>
      <c r="CS7" s="107"/>
      <c r="CT7" s="107"/>
      <c r="CU7" s="107"/>
      <c r="CV7" s="107"/>
      <c r="CW7" s="107"/>
      <c r="CX7" s="107"/>
      <c r="CY7" s="107"/>
      <c r="CZ7" s="107"/>
      <c r="DA7" s="107"/>
      <c r="DB7" s="107"/>
      <c r="DC7" s="107"/>
      <c r="DD7" s="107"/>
      <c r="DE7" s="107"/>
      <c r="DF7" s="107"/>
      <c r="DG7" s="107"/>
      <c r="DH7" s="107"/>
      <c r="DI7" s="107"/>
      <c r="DJ7" s="107"/>
      <c r="DK7" s="107"/>
      <c r="DL7" s="107"/>
      <c r="DM7" s="107"/>
      <c r="DN7" s="107"/>
      <c r="DO7" s="107"/>
      <c r="DP7" s="107"/>
      <c r="DQ7" s="107"/>
      <c r="DR7" s="107"/>
      <c r="DS7" s="107"/>
      <c r="DT7" s="107"/>
      <c r="DU7" s="107"/>
      <c r="DV7" s="107"/>
      <c r="DW7" s="107"/>
      <c r="DX7" s="107"/>
      <c r="DY7" s="107"/>
      <c r="DZ7" s="107"/>
      <c r="EA7" s="107"/>
      <c r="EB7" s="107"/>
      <c r="EC7" s="107"/>
      <c r="ED7" s="107"/>
      <c r="EE7" s="107"/>
      <c r="EF7" s="107"/>
      <c r="EG7" s="107"/>
      <c r="EH7" s="107"/>
      <c r="EI7" s="107"/>
      <c r="EJ7" s="107"/>
      <c r="EK7" s="107"/>
      <c r="EL7" s="107"/>
      <c r="EM7" s="107"/>
      <c r="EN7" s="107"/>
      <c r="EO7" s="107"/>
      <c r="EP7" s="107"/>
      <c r="EQ7" s="107"/>
      <c r="ER7" s="107"/>
      <c r="ES7" s="107"/>
      <c r="ET7" s="107"/>
      <c r="EU7" s="107"/>
      <c r="EV7" s="107"/>
      <c r="EW7" s="107"/>
      <c r="EX7" s="107"/>
      <c r="EY7" s="107"/>
      <c r="EZ7" s="107"/>
      <c r="FA7" s="107"/>
      <c r="FB7" s="107"/>
      <c r="FC7" s="107"/>
      <c r="FD7" s="107"/>
      <c r="FE7" s="107"/>
      <c r="FF7" s="107"/>
      <c r="FG7" s="107"/>
      <c r="FH7" s="107"/>
      <c r="FI7" s="107"/>
      <c r="FJ7" s="107"/>
      <c r="FK7" s="107"/>
      <c r="FL7" s="107"/>
      <c r="FM7" s="107"/>
      <c r="FN7" s="107"/>
      <c r="FO7" s="107"/>
      <c r="FP7" s="107"/>
      <c r="FQ7" s="107"/>
      <c r="FR7" s="107"/>
      <c r="FS7" s="107"/>
      <c r="FT7" s="107"/>
      <c r="FU7" s="107"/>
      <c r="FV7" s="107"/>
      <c r="FW7" s="108"/>
      <c r="FX7" s="61"/>
      <c r="FY7" s="61"/>
      <c r="FZ7" s="61"/>
      <c r="GA7" s="61"/>
      <c r="GB7" s="61"/>
      <c r="GC7" s="61"/>
      <c r="GD7" s="61"/>
      <c r="GE7" s="61"/>
      <c r="GF7" s="61"/>
      <c r="GG7" s="61"/>
      <c r="GH7" s="61"/>
      <c r="GI7" s="61"/>
      <c r="GJ7" s="61"/>
      <c r="GK7" s="61"/>
      <c r="GL7" s="61"/>
      <c r="GM7" s="61"/>
      <c r="GN7" s="61"/>
      <c r="GO7" s="61"/>
      <c r="GP7" s="61"/>
      <c r="GQ7" s="61"/>
      <c r="GR7" s="61"/>
    </row>
    <row r="8" spans="4:202" ht="10.5" customHeight="1" x14ac:dyDescent="0.25">
      <c r="E8" s="124">
        <f>IFERROR(VLOOKUP(AE8,REQUISIÇÕES!$A:$J,2,0),"")</f>
        <v>42602</v>
      </c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  <c r="AD8" s="126"/>
      <c r="AE8" s="100">
        <v>77</v>
      </c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  <c r="AT8" s="101"/>
      <c r="AU8" s="101"/>
      <c r="AV8" s="101"/>
      <c r="AW8" s="101"/>
      <c r="AX8" s="101"/>
      <c r="AY8" s="101"/>
      <c r="AZ8" s="101"/>
      <c r="BA8" s="101"/>
      <c r="BB8" s="101"/>
      <c r="BC8" s="101"/>
      <c r="BD8" s="101"/>
      <c r="BE8" s="101"/>
      <c r="BF8" s="101"/>
      <c r="BG8" s="101"/>
      <c r="BH8" s="101"/>
      <c r="BI8" s="101"/>
      <c r="BJ8" s="101"/>
      <c r="BK8" s="101"/>
      <c r="BL8" s="102"/>
      <c r="BM8" s="94">
        <f>IFERROR(VLOOKUP(AE8,REQUISIÇÕES!$A:$J,6,0),"")</f>
        <v>15692</v>
      </c>
      <c r="BN8" s="95"/>
      <c r="BO8" s="95"/>
      <c r="BP8" s="95"/>
      <c r="BQ8" s="95"/>
      <c r="BR8" s="95"/>
      <c r="BS8" s="95"/>
      <c r="BT8" s="95"/>
      <c r="BU8" s="95"/>
      <c r="BV8" s="95"/>
      <c r="BW8" s="95"/>
      <c r="BX8" s="95"/>
      <c r="BY8" s="95"/>
      <c r="BZ8" s="95"/>
      <c r="CA8" s="95"/>
      <c r="CB8" s="95"/>
      <c r="CC8" s="95"/>
      <c r="CD8" s="95"/>
      <c r="CE8" s="95"/>
      <c r="CF8" s="95"/>
      <c r="CG8" s="95"/>
      <c r="CH8" s="95"/>
      <c r="CI8" s="96"/>
      <c r="CJ8" s="100" t="str">
        <f>IFERROR(VLOOKUP(AE8,REQUISIÇÕES!$A:$J,7,0),"")</f>
        <v>OLEO LUBRIF SAE 15W40 API CJ-4S/M</v>
      </c>
      <c r="CK8" s="101"/>
      <c r="CL8" s="101"/>
      <c r="CM8" s="101"/>
      <c r="CN8" s="101"/>
      <c r="CO8" s="101"/>
      <c r="CP8" s="101"/>
      <c r="CQ8" s="101"/>
      <c r="CR8" s="101"/>
      <c r="CS8" s="101"/>
      <c r="CT8" s="101"/>
      <c r="CU8" s="101"/>
      <c r="CV8" s="101"/>
      <c r="CW8" s="101"/>
      <c r="CX8" s="101"/>
      <c r="CY8" s="101"/>
      <c r="CZ8" s="101"/>
      <c r="DA8" s="101"/>
      <c r="DB8" s="101"/>
      <c r="DC8" s="101"/>
      <c r="DD8" s="101"/>
      <c r="DE8" s="101"/>
      <c r="DF8" s="101"/>
      <c r="DG8" s="101"/>
      <c r="DH8" s="101"/>
      <c r="DI8" s="101"/>
      <c r="DJ8" s="101"/>
      <c r="DK8" s="101"/>
      <c r="DL8" s="101"/>
      <c r="DM8" s="101"/>
      <c r="DN8" s="101"/>
      <c r="DO8" s="101"/>
      <c r="DP8" s="101"/>
      <c r="DQ8" s="101"/>
      <c r="DR8" s="101"/>
      <c r="DS8" s="101"/>
      <c r="DT8" s="101"/>
      <c r="DU8" s="101"/>
      <c r="DV8" s="101"/>
      <c r="DW8" s="101"/>
      <c r="DX8" s="101"/>
      <c r="DY8" s="101"/>
      <c r="DZ8" s="101"/>
      <c r="EA8" s="101"/>
      <c r="EB8" s="101"/>
      <c r="EC8" s="101"/>
      <c r="ED8" s="101"/>
      <c r="EE8" s="101"/>
      <c r="EF8" s="101"/>
      <c r="EG8" s="101"/>
      <c r="EH8" s="101"/>
      <c r="EI8" s="101"/>
      <c r="EJ8" s="101"/>
      <c r="EK8" s="101"/>
      <c r="EL8" s="101"/>
      <c r="EM8" s="101"/>
      <c r="EN8" s="101"/>
      <c r="EO8" s="101"/>
      <c r="EP8" s="101"/>
      <c r="EQ8" s="101"/>
      <c r="ER8" s="101"/>
      <c r="ES8" s="101"/>
      <c r="ET8" s="101"/>
      <c r="EU8" s="101"/>
      <c r="EV8" s="101"/>
      <c r="EW8" s="101"/>
      <c r="EX8" s="101"/>
      <c r="EY8" s="101"/>
      <c r="EZ8" s="101"/>
      <c r="FA8" s="101"/>
      <c r="FB8" s="101"/>
      <c r="FC8" s="101"/>
      <c r="FD8" s="101"/>
      <c r="FE8" s="101"/>
      <c r="FF8" s="101"/>
      <c r="FG8" s="101"/>
      <c r="FH8" s="101"/>
      <c r="FI8" s="101"/>
      <c r="FJ8" s="101"/>
      <c r="FK8" s="101"/>
      <c r="FL8" s="101"/>
      <c r="FM8" s="101"/>
      <c r="FN8" s="101"/>
      <c r="FO8" s="101"/>
      <c r="FP8" s="101"/>
      <c r="FQ8" s="101"/>
      <c r="FR8" s="101"/>
      <c r="FS8" s="101"/>
      <c r="FT8" s="101"/>
      <c r="FU8" s="101"/>
      <c r="FV8" s="101"/>
      <c r="FW8" s="102"/>
      <c r="FX8" s="61"/>
      <c r="FY8" s="61"/>
      <c r="FZ8" s="61"/>
      <c r="GA8" s="61"/>
      <c r="GB8" s="61"/>
      <c r="GC8" s="61"/>
      <c r="GD8" s="61"/>
      <c r="GE8" s="61"/>
      <c r="GF8" s="61"/>
      <c r="GG8" s="61"/>
      <c r="GH8" s="61"/>
      <c r="GI8" s="61"/>
      <c r="GJ8" s="61"/>
      <c r="GK8" s="61"/>
      <c r="GL8" s="61"/>
      <c r="GM8" s="61"/>
      <c r="GN8" s="61"/>
      <c r="GO8" s="61"/>
      <c r="GP8" s="61"/>
      <c r="GQ8" s="61"/>
      <c r="GR8" s="61"/>
    </row>
    <row r="9" spans="4:202" ht="10.5" customHeight="1" x14ac:dyDescent="0.25">
      <c r="E9" s="127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9"/>
      <c r="AE9" s="103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5"/>
      <c r="BM9" s="97"/>
      <c r="BN9" s="98"/>
      <c r="BO9" s="98"/>
      <c r="BP9" s="98"/>
      <c r="BQ9" s="98"/>
      <c r="BR9" s="98"/>
      <c r="BS9" s="98"/>
      <c r="BT9" s="98"/>
      <c r="BU9" s="98"/>
      <c r="BV9" s="98"/>
      <c r="BW9" s="98"/>
      <c r="BX9" s="98"/>
      <c r="BY9" s="98"/>
      <c r="BZ9" s="98"/>
      <c r="CA9" s="98"/>
      <c r="CB9" s="98"/>
      <c r="CC9" s="98"/>
      <c r="CD9" s="98"/>
      <c r="CE9" s="98"/>
      <c r="CF9" s="98"/>
      <c r="CG9" s="98"/>
      <c r="CH9" s="98"/>
      <c r="CI9" s="99"/>
      <c r="CJ9" s="103"/>
      <c r="CK9" s="104"/>
      <c r="CL9" s="104"/>
      <c r="CM9" s="104"/>
      <c r="CN9" s="104"/>
      <c r="CO9" s="104"/>
      <c r="CP9" s="104"/>
      <c r="CQ9" s="104"/>
      <c r="CR9" s="104"/>
      <c r="CS9" s="104"/>
      <c r="CT9" s="104"/>
      <c r="CU9" s="104"/>
      <c r="CV9" s="104"/>
      <c r="CW9" s="104"/>
      <c r="CX9" s="104"/>
      <c r="CY9" s="104"/>
      <c r="CZ9" s="104"/>
      <c r="DA9" s="104"/>
      <c r="DB9" s="104"/>
      <c r="DC9" s="104"/>
      <c r="DD9" s="104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U9" s="104"/>
      <c r="DV9" s="104"/>
      <c r="DW9" s="104"/>
      <c r="DX9" s="104"/>
      <c r="DY9" s="104"/>
      <c r="DZ9" s="104"/>
      <c r="EA9" s="104"/>
      <c r="EB9" s="104"/>
      <c r="EC9" s="104"/>
      <c r="ED9" s="104"/>
      <c r="EE9" s="104"/>
      <c r="EF9" s="104"/>
      <c r="EG9" s="104"/>
      <c r="EH9" s="104"/>
      <c r="EI9" s="104"/>
      <c r="EJ9" s="104"/>
      <c r="EK9" s="104"/>
      <c r="EL9" s="104"/>
      <c r="EM9" s="104"/>
      <c r="EN9" s="104"/>
      <c r="EO9" s="104"/>
      <c r="EP9" s="104"/>
      <c r="EQ9" s="104"/>
      <c r="ER9" s="104"/>
      <c r="ES9" s="104"/>
      <c r="ET9" s="104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K9" s="104"/>
      <c r="FL9" s="104"/>
      <c r="FM9" s="104"/>
      <c r="FN9" s="104"/>
      <c r="FO9" s="104"/>
      <c r="FP9" s="104"/>
      <c r="FQ9" s="104"/>
      <c r="FR9" s="104"/>
      <c r="FS9" s="104"/>
      <c r="FT9" s="104"/>
      <c r="FU9" s="104"/>
      <c r="FV9" s="104"/>
      <c r="FW9" s="105"/>
      <c r="FX9" s="61"/>
      <c r="FY9" s="61"/>
      <c r="FZ9" s="61"/>
      <c r="GA9" s="61"/>
      <c r="GB9" s="61"/>
      <c r="GC9" s="61"/>
      <c r="GD9" s="61"/>
      <c r="GE9" s="61"/>
      <c r="GF9" s="61"/>
      <c r="GG9" s="61"/>
      <c r="GH9" s="61"/>
      <c r="GI9" s="61"/>
      <c r="GJ9" s="61"/>
      <c r="GK9" s="61"/>
      <c r="GL9" s="61"/>
      <c r="GM9" s="61"/>
      <c r="GN9" s="61"/>
      <c r="GO9" s="61"/>
      <c r="GP9" s="61"/>
      <c r="GQ9" s="61"/>
      <c r="GR9" s="61"/>
    </row>
    <row r="10" spans="4:202" x14ac:dyDescent="0.25">
      <c r="E10" s="106" t="s">
        <v>59</v>
      </c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07"/>
      <c r="AD10" s="108"/>
      <c r="AE10" s="109" t="s">
        <v>62</v>
      </c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1"/>
      <c r="BM10" s="109" t="s">
        <v>61</v>
      </c>
      <c r="BN10" s="110"/>
      <c r="BO10" s="110"/>
      <c r="BP10" s="110"/>
      <c r="BQ10" s="110"/>
      <c r="BR10" s="110"/>
      <c r="BS10" s="110"/>
      <c r="BT10" s="110"/>
      <c r="BU10" s="110"/>
      <c r="BV10" s="110"/>
      <c r="BW10" s="110"/>
      <c r="BX10" s="110"/>
      <c r="BY10" s="110"/>
      <c r="BZ10" s="110"/>
      <c r="CA10" s="110"/>
      <c r="CB10" s="110"/>
      <c r="CC10" s="110"/>
      <c r="CD10" s="110"/>
      <c r="CE10" s="110"/>
      <c r="CF10" s="110"/>
      <c r="CG10" s="110"/>
      <c r="CH10" s="110"/>
      <c r="CI10" s="110"/>
      <c r="CJ10" s="110"/>
      <c r="CK10" s="110"/>
      <c r="CL10" s="110"/>
      <c r="CM10" s="110"/>
      <c r="CN10" s="110"/>
      <c r="CO10" s="110"/>
      <c r="CP10" s="110"/>
      <c r="CQ10" s="110"/>
      <c r="CR10" s="110"/>
      <c r="CS10" s="110"/>
      <c r="CT10" s="110"/>
      <c r="CU10" s="110"/>
      <c r="CV10" s="110"/>
      <c r="CW10" s="110"/>
      <c r="CX10" s="110"/>
      <c r="CY10" s="110"/>
      <c r="CZ10" s="110"/>
      <c r="DA10" s="110"/>
      <c r="DB10" s="110"/>
      <c r="DC10" s="110"/>
      <c r="DD10" s="111"/>
      <c r="DE10" s="112" t="s">
        <v>60</v>
      </c>
      <c r="DF10" s="113"/>
      <c r="DG10" s="113"/>
      <c r="DH10" s="113"/>
      <c r="DI10" s="113"/>
      <c r="DJ10" s="113"/>
      <c r="DK10" s="113"/>
      <c r="DL10" s="113"/>
      <c r="DM10" s="113"/>
      <c r="DN10" s="113"/>
      <c r="DO10" s="113"/>
      <c r="DP10" s="113"/>
      <c r="DQ10" s="113"/>
      <c r="DR10" s="113"/>
      <c r="DS10" s="113"/>
      <c r="DT10" s="114"/>
      <c r="DU10" s="115" t="s">
        <v>25</v>
      </c>
      <c r="DV10" s="116"/>
      <c r="DW10" s="116"/>
      <c r="DX10" s="116"/>
      <c r="DY10" s="116"/>
      <c r="DZ10" s="116"/>
      <c r="EA10" s="116"/>
      <c r="EB10" s="116"/>
      <c r="EC10" s="116"/>
      <c r="ED10" s="116"/>
      <c r="EE10" s="116"/>
      <c r="EF10" s="116"/>
      <c r="EG10" s="116"/>
      <c r="EH10" s="116"/>
      <c r="EI10" s="116"/>
      <c r="EJ10" s="116"/>
      <c r="EK10" s="116"/>
      <c r="EL10" s="116"/>
      <c r="EM10" s="116"/>
      <c r="EN10" s="116"/>
      <c r="EO10" s="116"/>
      <c r="EP10" s="116"/>
      <c r="EQ10" s="116"/>
      <c r="ER10" s="116"/>
      <c r="ES10" s="116"/>
      <c r="ET10" s="116"/>
      <c r="EU10" s="116"/>
      <c r="EV10" s="116"/>
      <c r="EW10" s="116"/>
      <c r="EX10" s="116"/>
      <c r="EY10" s="116"/>
      <c r="EZ10" s="116"/>
      <c r="FA10" s="116"/>
      <c r="FB10" s="116"/>
      <c r="FC10" s="116"/>
      <c r="FD10" s="116"/>
      <c r="FE10" s="116"/>
      <c r="FF10" s="116"/>
      <c r="FG10" s="116"/>
      <c r="FH10" s="116"/>
      <c r="FI10" s="116"/>
      <c r="FJ10" s="116"/>
      <c r="FK10" s="116"/>
      <c r="FL10" s="116"/>
      <c r="FM10" s="116"/>
      <c r="FN10" s="116"/>
      <c r="FO10" s="116"/>
      <c r="FP10" s="116"/>
      <c r="FQ10" s="116"/>
      <c r="FR10" s="116"/>
      <c r="FS10" s="116"/>
      <c r="FT10" s="116"/>
      <c r="FU10" s="116"/>
      <c r="FV10" s="116"/>
      <c r="FW10" s="117"/>
      <c r="FX10" s="61"/>
      <c r="FY10" s="61"/>
      <c r="FZ10" s="61"/>
      <c r="GA10" s="61"/>
      <c r="GB10" s="61"/>
      <c r="GC10" s="61"/>
      <c r="GD10" s="61"/>
      <c r="GE10" s="61"/>
      <c r="GF10" s="61"/>
      <c r="GG10" s="61"/>
      <c r="GH10" s="61"/>
      <c r="GI10" s="61"/>
      <c r="GJ10" s="61"/>
      <c r="GK10" s="61"/>
      <c r="GL10" s="61"/>
      <c r="GM10" s="61"/>
      <c r="GN10" s="61"/>
      <c r="GO10" s="61"/>
      <c r="GP10" s="61"/>
      <c r="GQ10" s="61"/>
      <c r="GR10" s="61"/>
    </row>
    <row r="11" spans="4:202" ht="9.75" customHeight="1" x14ac:dyDescent="0.25">
      <c r="E11" s="118">
        <f>IFERROR(VLOOKUP(AE8,REQUISIÇÕES!$A:$J,3,0),"")</f>
        <v>0.29930555555555555</v>
      </c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20"/>
      <c r="AE11" s="100">
        <f>IFERROR(VLOOKUP(AE8,REQUISIÇÕES!$A:$J,5,0),"")</f>
        <v>237</v>
      </c>
      <c r="AF11" s="101"/>
      <c r="AG11" s="101"/>
      <c r="AH11" s="101"/>
      <c r="AI11" s="101"/>
      <c r="AJ11" s="101"/>
      <c r="AK11" s="101"/>
      <c r="AL11" s="101"/>
      <c r="AM11" s="101"/>
      <c r="AN11" s="101"/>
      <c r="AO11" s="101"/>
      <c r="AP11" s="101"/>
      <c r="AQ11" s="101"/>
      <c r="AR11" s="101"/>
      <c r="AS11" s="101"/>
      <c r="AT11" s="101"/>
      <c r="AU11" s="101"/>
      <c r="AV11" s="101"/>
      <c r="AW11" s="101"/>
      <c r="AX11" s="101"/>
      <c r="AY11" s="101"/>
      <c r="AZ11" s="101"/>
      <c r="BA11" s="101"/>
      <c r="BB11" s="101"/>
      <c r="BC11" s="101"/>
      <c r="BD11" s="101"/>
      <c r="BE11" s="101"/>
      <c r="BF11" s="101"/>
      <c r="BG11" s="101"/>
      <c r="BH11" s="101"/>
      <c r="BI11" s="101"/>
      <c r="BJ11" s="101"/>
      <c r="BK11" s="101"/>
      <c r="BL11" s="102"/>
      <c r="BM11" s="130">
        <f>IFERROR(VLOOKUP(AE8,REQUISIÇÕES!$A:$J,4,0),"")</f>
        <v>520</v>
      </c>
      <c r="BN11" s="131"/>
      <c r="BO11" s="131"/>
      <c r="BP11" s="131"/>
      <c r="BQ11" s="131"/>
      <c r="BR11" s="131"/>
      <c r="BS11" s="131"/>
      <c r="BT11" s="131"/>
      <c r="BU11" s="131"/>
      <c r="BV11" s="131"/>
      <c r="BW11" s="131"/>
      <c r="BX11" s="131"/>
      <c r="BY11" s="131"/>
      <c r="BZ11" s="131"/>
      <c r="CA11" s="131"/>
      <c r="CB11" s="131"/>
      <c r="CC11" s="131"/>
      <c r="CD11" s="131"/>
      <c r="CE11" s="131"/>
      <c r="CF11" s="131"/>
      <c r="CG11" s="131"/>
      <c r="CH11" s="131"/>
      <c r="CI11" s="131"/>
      <c r="CJ11" s="131"/>
      <c r="CK11" s="131"/>
      <c r="CL11" s="131"/>
      <c r="CM11" s="131"/>
      <c r="CN11" s="131"/>
      <c r="CO11" s="131"/>
      <c r="CP11" s="131"/>
      <c r="CQ11" s="131"/>
      <c r="CR11" s="131"/>
      <c r="CS11" s="131"/>
      <c r="CT11" s="131"/>
      <c r="CU11" s="131"/>
      <c r="CV11" s="131"/>
      <c r="CW11" s="131"/>
      <c r="CX11" s="131"/>
      <c r="CY11" s="131"/>
      <c r="CZ11" s="131"/>
      <c r="DA11" s="131"/>
      <c r="DB11" s="131"/>
      <c r="DC11" s="131"/>
      <c r="DD11" s="132"/>
      <c r="DE11" s="94" t="str">
        <f>IFERROR(VLOOKUP(AE11,'BD MAT.'!$E:$G,3,0),"")</f>
        <v>PB</v>
      </c>
      <c r="DF11" s="95"/>
      <c r="DG11" s="95"/>
      <c r="DH11" s="95"/>
      <c r="DI11" s="95"/>
      <c r="DJ11" s="95"/>
      <c r="DK11" s="95"/>
      <c r="DL11" s="95"/>
      <c r="DM11" s="95"/>
      <c r="DN11" s="95"/>
      <c r="DO11" s="95"/>
      <c r="DP11" s="95"/>
      <c r="DQ11" s="95"/>
      <c r="DR11" s="95"/>
      <c r="DS11" s="95"/>
      <c r="DT11" s="96"/>
      <c r="DU11" s="153">
        <f>IFERROR(VLOOKUP(AE8,REQUISIÇÕES!$A:$J,8,0),"")</f>
        <v>200</v>
      </c>
      <c r="DV11" s="154"/>
      <c r="DW11" s="154"/>
      <c r="DX11" s="154"/>
      <c r="DY11" s="154"/>
      <c r="DZ11" s="154"/>
      <c r="EA11" s="154"/>
      <c r="EB11" s="154"/>
      <c r="EC11" s="154"/>
      <c r="ED11" s="154"/>
      <c r="EE11" s="154"/>
      <c r="EF11" s="154"/>
      <c r="EG11" s="154"/>
      <c r="EH11" s="154"/>
      <c r="EI11" s="154"/>
      <c r="EJ11" s="154"/>
      <c r="EK11" s="154"/>
      <c r="EL11" s="154"/>
      <c r="EM11" s="154"/>
      <c r="EN11" s="154"/>
      <c r="EO11" s="154"/>
      <c r="EP11" s="154"/>
      <c r="EQ11" s="154"/>
      <c r="ER11" s="154"/>
      <c r="ES11" s="154"/>
      <c r="ET11" s="154"/>
      <c r="EU11" s="154"/>
      <c r="EV11" s="154"/>
      <c r="EW11" s="154"/>
      <c r="EX11" s="154"/>
      <c r="EY11" s="154"/>
      <c r="EZ11" s="154"/>
      <c r="FA11" s="154"/>
      <c r="FB11" s="154"/>
      <c r="FC11" s="154"/>
      <c r="FD11" s="154"/>
      <c r="FE11" s="154"/>
      <c r="FF11" s="154"/>
      <c r="FG11" s="154"/>
      <c r="FH11" s="154"/>
      <c r="FI11" s="154"/>
      <c r="FJ11" s="154"/>
      <c r="FK11" s="154"/>
      <c r="FL11" s="154"/>
      <c r="FM11" s="154"/>
      <c r="FN11" s="154"/>
      <c r="FO11" s="154"/>
      <c r="FP11" s="154"/>
      <c r="FQ11" s="154"/>
      <c r="FR11" s="154"/>
      <c r="FS11" s="154"/>
      <c r="FT11" s="154"/>
      <c r="FU11" s="154"/>
      <c r="FV11" s="154"/>
      <c r="FW11" s="155"/>
      <c r="FX11" s="61"/>
      <c r="FY11" s="61"/>
      <c r="FZ11" s="61"/>
      <c r="GA11" s="61"/>
      <c r="GB11" s="61"/>
      <c r="GC11" s="61"/>
      <c r="GD11" s="61"/>
      <c r="GE11" s="61"/>
      <c r="GF11" s="61"/>
      <c r="GG11" s="61"/>
      <c r="GH11" s="61"/>
      <c r="GI11" s="61"/>
      <c r="GJ11" s="61"/>
      <c r="GK11" s="61"/>
      <c r="GL11" s="61"/>
      <c r="GM11" s="61"/>
      <c r="GN11" s="61"/>
      <c r="GO11" s="61"/>
      <c r="GP11" s="61"/>
      <c r="GQ11" s="61"/>
      <c r="GR11" s="61"/>
    </row>
    <row r="12" spans="4:202" ht="9.75" customHeight="1" x14ac:dyDescent="0.25">
      <c r="E12" s="121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3"/>
      <c r="AE12" s="103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 s="104"/>
      <c r="BG12" s="104"/>
      <c r="BH12" s="104"/>
      <c r="BI12" s="104"/>
      <c r="BJ12" s="104"/>
      <c r="BK12" s="104"/>
      <c r="BL12" s="105"/>
      <c r="BM12" s="133"/>
      <c r="BN12" s="134"/>
      <c r="BO12" s="134"/>
      <c r="BP12" s="134"/>
      <c r="BQ12" s="134"/>
      <c r="BR12" s="134"/>
      <c r="BS12" s="134"/>
      <c r="BT12" s="134"/>
      <c r="BU12" s="134"/>
      <c r="BV12" s="134"/>
      <c r="BW12" s="134"/>
      <c r="BX12" s="134"/>
      <c r="BY12" s="134"/>
      <c r="BZ12" s="134"/>
      <c r="CA12" s="134"/>
      <c r="CB12" s="134"/>
      <c r="CC12" s="134"/>
      <c r="CD12" s="134"/>
      <c r="CE12" s="134"/>
      <c r="CF12" s="134"/>
      <c r="CG12" s="134"/>
      <c r="CH12" s="134"/>
      <c r="CI12" s="134"/>
      <c r="CJ12" s="134"/>
      <c r="CK12" s="134"/>
      <c r="CL12" s="134"/>
      <c r="CM12" s="134"/>
      <c r="CN12" s="134"/>
      <c r="CO12" s="134"/>
      <c r="CP12" s="134"/>
      <c r="CQ12" s="134"/>
      <c r="CR12" s="134"/>
      <c r="CS12" s="134"/>
      <c r="CT12" s="134"/>
      <c r="CU12" s="134"/>
      <c r="CV12" s="134"/>
      <c r="CW12" s="134"/>
      <c r="CX12" s="134"/>
      <c r="CY12" s="134"/>
      <c r="CZ12" s="134"/>
      <c r="DA12" s="134"/>
      <c r="DB12" s="134"/>
      <c r="DC12" s="134"/>
      <c r="DD12" s="135"/>
      <c r="DE12" s="97"/>
      <c r="DF12" s="98"/>
      <c r="DG12" s="98"/>
      <c r="DH12" s="98"/>
      <c r="DI12" s="98"/>
      <c r="DJ12" s="98"/>
      <c r="DK12" s="98"/>
      <c r="DL12" s="98"/>
      <c r="DM12" s="98"/>
      <c r="DN12" s="98"/>
      <c r="DO12" s="98"/>
      <c r="DP12" s="98"/>
      <c r="DQ12" s="98"/>
      <c r="DR12" s="98"/>
      <c r="DS12" s="98"/>
      <c r="DT12" s="99"/>
      <c r="DU12" s="156"/>
      <c r="DV12" s="157"/>
      <c r="DW12" s="157"/>
      <c r="DX12" s="157"/>
      <c r="DY12" s="157"/>
      <c r="DZ12" s="157"/>
      <c r="EA12" s="157"/>
      <c r="EB12" s="157"/>
      <c r="EC12" s="157"/>
      <c r="ED12" s="157"/>
      <c r="EE12" s="157"/>
      <c r="EF12" s="157"/>
      <c r="EG12" s="157"/>
      <c r="EH12" s="157"/>
      <c r="EI12" s="157"/>
      <c r="EJ12" s="157"/>
      <c r="EK12" s="157"/>
      <c r="EL12" s="157"/>
      <c r="EM12" s="157"/>
      <c r="EN12" s="157"/>
      <c r="EO12" s="157"/>
      <c r="EP12" s="157"/>
      <c r="EQ12" s="157"/>
      <c r="ER12" s="157"/>
      <c r="ES12" s="157"/>
      <c r="ET12" s="157"/>
      <c r="EU12" s="157"/>
      <c r="EV12" s="157"/>
      <c r="EW12" s="157"/>
      <c r="EX12" s="157"/>
      <c r="EY12" s="157"/>
      <c r="EZ12" s="157"/>
      <c r="FA12" s="157"/>
      <c r="FB12" s="157"/>
      <c r="FC12" s="157"/>
      <c r="FD12" s="157"/>
      <c r="FE12" s="157"/>
      <c r="FF12" s="157"/>
      <c r="FG12" s="157"/>
      <c r="FH12" s="157"/>
      <c r="FI12" s="157"/>
      <c r="FJ12" s="157"/>
      <c r="FK12" s="157"/>
      <c r="FL12" s="157"/>
      <c r="FM12" s="157"/>
      <c r="FN12" s="157"/>
      <c r="FO12" s="157"/>
      <c r="FP12" s="157"/>
      <c r="FQ12" s="157"/>
      <c r="FR12" s="157"/>
      <c r="FS12" s="157"/>
      <c r="FT12" s="157"/>
      <c r="FU12" s="157"/>
      <c r="FV12" s="157"/>
      <c r="FW12" s="158"/>
      <c r="FX12" s="61"/>
      <c r="FY12" s="61"/>
      <c r="FZ12" s="61"/>
      <c r="GA12" s="61"/>
      <c r="GB12" s="61"/>
      <c r="GC12" s="61"/>
      <c r="GD12" s="61"/>
      <c r="GE12" s="61"/>
      <c r="GF12" s="61"/>
      <c r="GG12" s="61"/>
      <c r="GH12" s="61"/>
      <c r="GI12" s="61"/>
      <c r="GJ12" s="61"/>
      <c r="GK12" s="61"/>
      <c r="GL12" s="61"/>
      <c r="GM12" s="61"/>
      <c r="GN12" s="61"/>
      <c r="GO12" s="61"/>
      <c r="GP12" s="61"/>
      <c r="GQ12" s="61"/>
      <c r="GR12" s="61"/>
    </row>
    <row r="13" spans="4:202" ht="6" customHeight="1" x14ac:dyDescent="0.25"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  <c r="EA13" s="61"/>
      <c r="EB13" s="61"/>
      <c r="EC13" s="61"/>
      <c r="ED13" s="61"/>
      <c r="EE13" s="61"/>
      <c r="EF13" s="61"/>
      <c r="EG13" s="61"/>
      <c r="EH13" s="61"/>
      <c r="EI13" s="61"/>
      <c r="EJ13" s="61"/>
      <c r="EK13" s="61"/>
      <c r="EL13" s="61"/>
      <c r="EM13" s="61"/>
      <c r="EN13" s="61"/>
      <c r="EO13" s="61"/>
      <c r="EP13" s="61"/>
      <c r="EQ13" s="61"/>
      <c r="ER13" s="61"/>
      <c r="ES13" s="61"/>
      <c r="ET13" s="61"/>
      <c r="EU13" s="61"/>
      <c r="EV13" s="61"/>
      <c r="EW13" s="61"/>
      <c r="EX13" s="61"/>
      <c r="EY13" s="61"/>
      <c r="EZ13" s="61"/>
      <c r="FA13" s="61"/>
      <c r="FB13" s="61"/>
      <c r="FC13" s="61"/>
      <c r="FD13" s="61"/>
      <c r="FE13" s="61"/>
      <c r="FF13" s="61"/>
      <c r="FG13" s="61"/>
      <c r="FH13" s="61"/>
      <c r="FI13" s="61"/>
      <c r="FJ13" s="61"/>
      <c r="FK13" s="61"/>
      <c r="FL13" s="61"/>
      <c r="FM13" s="61"/>
      <c r="FN13" s="61"/>
      <c r="FO13" s="61"/>
      <c r="FP13" s="61"/>
      <c r="FQ13" s="61"/>
      <c r="FR13" s="61"/>
      <c r="FS13" s="61"/>
      <c r="FT13" s="61"/>
      <c r="FU13" s="61"/>
      <c r="FV13" s="61"/>
      <c r="FW13" s="61"/>
      <c r="FX13" s="61"/>
      <c r="FY13" s="61"/>
      <c r="FZ13" s="61"/>
      <c r="GA13" s="61"/>
      <c r="GB13" s="61"/>
      <c r="GC13" s="61"/>
      <c r="GD13" s="61"/>
      <c r="GE13" s="61"/>
      <c r="GF13" s="61"/>
      <c r="GG13" s="61"/>
      <c r="GH13" s="61"/>
      <c r="GI13" s="61"/>
      <c r="GJ13" s="61"/>
      <c r="GK13" s="61"/>
      <c r="GL13" s="61"/>
      <c r="GM13" s="61"/>
      <c r="GN13" s="61"/>
      <c r="GO13" s="61"/>
      <c r="GP13" s="61"/>
      <c r="GQ13" s="61"/>
      <c r="GR13" s="61"/>
    </row>
    <row r="14" spans="4:202" ht="6" customHeight="1" x14ac:dyDescent="0.25"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  <c r="EA14" s="61"/>
      <c r="EB14" s="61"/>
      <c r="EC14" s="61"/>
      <c r="ED14" s="61"/>
      <c r="EE14" s="61"/>
      <c r="EF14" s="61"/>
      <c r="EG14" s="61"/>
      <c r="EH14" s="61"/>
      <c r="EI14" s="61"/>
      <c r="EJ14" s="61"/>
      <c r="EK14" s="61"/>
      <c r="EL14" s="61"/>
      <c r="EM14" s="61"/>
      <c r="EN14" s="61"/>
      <c r="EO14" s="61"/>
      <c r="EP14" s="61"/>
      <c r="EQ14" s="61"/>
      <c r="ER14" s="61"/>
      <c r="ES14" s="61"/>
      <c r="ET14" s="61"/>
      <c r="EU14" s="61"/>
      <c r="EV14" s="61"/>
      <c r="EW14" s="61"/>
      <c r="EX14" s="61"/>
      <c r="EY14" s="61"/>
      <c r="EZ14" s="61"/>
      <c r="FA14" s="61"/>
      <c r="FB14" s="61"/>
      <c r="FC14" s="61"/>
      <c r="FD14" s="61"/>
      <c r="FE14" s="61"/>
      <c r="FF14" s="61"/>
      <c r="FG14" s="61"/>
      <c r="FH14" s="61"/>
      <c r="FI14" s="61"/>
      <c r="FJ14" s="61"/>
      <c r="FK14" s="61"/>
      <c r="FL14" s="61"/>
      <c r="FM14" s="61"/>
      <c r="FN14" s="61"/>
      <c r="FO14" s="61"/>
      <c r="FP14" s="61"/>
      <c r="FQ14" s="61"/>
      <c r="FR14" s="61"/>
      <c r="FS14" s="61"/>
      <c r="FT14" s="61"/>
      <c r="FU14" s="61"/>
      <c r="FV14" s="61"/>
      <c r="FW14" s="61"/>
      <c r="FX14" s="61"/>
      <c r="FY14" s="61"/>
      <c r="FZ14" s="61"/>
      <c r="GA14" s="61"/>
      <c r="GB14" s="61"/>
      <c r="GC14" s="61"/>
      <c r="GD14" s="61"/>
      <c r="GE14" s="61"/>
      <c r="GF14" s="61"/>
      <c r="GG14" s="61"/>
      <c r="GH14" s="61"/>
      <c r="GI14" s="61"/>
      <c r="GJ14" s="61"/>
      <c r="GK14" s="61"/>
      <c r="GL14" s="61"/>
      <c r="GM14" s="61"/>
      <c r="GN14" s="61"/>
      <c r="GO14" s="61"/>
      <c r="GP14" s="61"/>
      <c r="GQ14" s="61"/>
      <c r="GR14" s="61"/>
    </row>
    <row r="15" spans="4:202" x14ac:dyDescent="0.25">
      <c r="D15" s="61"/>
      <c r="E15" s="137" t="s">
        <v>86</v>
      </c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61"/>
      <c r="CU15" s="61" t="s">
        <v>81</v>
      </c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5"/>
      <c r="DT15" s="65"/>
      <c r="DU15" s="65"/>
      <c r="DV15" s="65"/>
      <c r="DW15" s="65"/>
      <c r="DX15" s="65"/>
      <c r="DY15" s="65"/>
      <c r="DZ15" s="65"/>
      <c r="EA15" s="65"/>
      <c r="EB15" s="65"/>
      <c r="EC15" s="65"/>
      <c r="ED15" s="65"/>
      <c r="EE15" s="65"/>
      <c r="EF15" s="65"/>
      <c r="EG15" s="65"/>
      <c r="EH15" s="65"/>
      <c r="EI15" s="65"/>
      <c r="EJ15" s="65"/>
      <c r="EK15" s="65"/>
      <c r="EL15" s="65"/>
      <c r="EM15" s="65"/>
      <c r="EN15" s="65"/>
      <c r="EO15" s="65"/>
      <c r="EP15" s="65"/>
      <c r="EQ15" s="65"/>
      <c r="ER15" s="65"/>
      <c r="ES15" s="65"/>
      <c r="ET15" s="65"/>
      <c r="EU15" s="65"/>
      <c r="EV15" s="65"/>
      <c r="EW15" s="65"/>
      <c r="EX15" s="65"/>
      <c r="EY15" s="65"/>
      <c r="EZ15" s="65"/>
      <c r="FA15" s="65"/>
      <c r="FB15" s="65"/>
      <c r="FC15" s="65"/>
      <c r="FD15" s="65"/>
      <c r="FE15" s="65"/>
      <c r="FF15" s="65"/>
      <c r="FG15" s="65"/>
      <c r="FH15" s="66"/>
      <c r="FI15" s="66"/>
      <c r="FJ15" s="66"/>
      <c r="FK15" s="66"/>
      <c r="FL15" s="66"/>
      <c r="FM15" s="66"/>
      <c r="FN15" s="66"/>
      <c r="FO15" s="66"/>
      <c r="FP15" s="66"/>
      <c r="FQ15" s="66"/>
      <c r="FR15" s="66"/>
      <c r="FS15" s="66"/>
      <c r="FT15" s="66"/>
      <c r="FU15" s="66"/>
      <c r="FV15" s="66"/>
      <c r="FW15" s="66"/>
      <c r="FX15" s="64"/>
      <c r="FY15" s="61"/>
      <c r="FZ15" s="61"/>
      <c r="GA15" s="61"/>
      <c r="GB15" s="61"/>
      <c r="GC15" s="61"/>
      <c r="GD15" s="61"/>
      <c r="GE15" s="61"/>
      <c r="GF15" s="61"/>
      <c r="GG15" s="61"/>
      <c r="GH15" s="61"/>
      <c r="GI15" s="61"/>
      <c r="GJ15" s="61"/>
      <c r="GK15" s="61"/>
      <c r="GL15" s="61"/>
      <c r="GM15" s="61"/>
      <c r="GN15" s="61"/>
      <c r="GO15" s="61"/>
      <c r="GP15" s="61"/>
      <c r="GQ15" s="61"/>
      <c r="GR15" s="61"/>
      <c r="GS15" s="61"/>
      <c r="GT15" s="61"/>
    </row>
    <row r="16" spans="4:202" x14ac:dyDescent="0.25">
      <c r="D16" s="61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7"/>
      <c r="AK16" s="137"/>
      <c r="AL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61"/>
      <c r="CU16" s="61" t="s">
        <v>55</v>
      </c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5"/>
      <c r="DI16" s="65"/>
      <c r="DJ16" s="65"/>
      <c r="DK16" s="65"/>
      <c r="DL16" s="65"/>
      <c r="DM16" s="65"/>
      <c r="DN16" s="65"/>
      <c r="DO16" s="65"/>
      <c r="DP16" s="65"/>
      <c r="DQ16" s="65"/>
      <c r="DR16" s="65"/>
      <c r="DS16" s="65"/>
      <c r="DT16" s="65"/>
      <c r="DU16" s="65"/>
      <c r="DV16" s="65"/>
      <c r="DW16" s="65"/>
      <c r="DX16" s="65"/>
      <c r="DY16" s="65"/>
      <c r="DZ16" s="65"/>
      <c r="EA16" s="65"/>
      <c r="EB16" s="65"/>
      <c r="EC16" s="65"/>
      <c r="ED16" s="65"/>
      <c r="EE16" s="65"/>
      <c r="EF16" s="65"/>
      <c r="EG16" s="65"/>
      <c r="EH16" s="65"/>
      <c r="EI16" s="65"/>
      <c r="EJ16" s="65"/>
      <c r="EK16" s="65"/>
      <c r="EL16" s="65"/>
      <c r="EM16" s="64" t="s">
        <v>56</v>
      </c>
      <c r="EN16" s="64"/>
      <c r="EO16" s="64"/>
      <c r="EP16" s="64"/>
      <c r="EQ16" s="64"/>
      <c r="ER16" s="64"/>
      <c r="ES16" s="64"/>
      <c r="ET16" s="64"/>
      <c r="EU16" s="64"/>
      <c r="EV16" s="64"/>
      <c r="EW16" s="66"/>
      <c r="EX16" s="66"/>
      <c r="EY16" s="66"/>
      <c r="EZ16" s="66"/>
      <c r="FA16" s="66"/>
      <c r="FB16" s="66"/>
      <c r="FC16" s="66"/>
      <c r="FD16" s="66"/>
      <c r="FE16" s="66"/>
      <c r="FF16" s="66"/>
      <c r="FG16" s="66"/>
      <c r="FH16" s="66"/>
      <c r="FI16" s="66"/>
      <c r="FJ16" s="66"/>
      <c r="FK16" s="66"/>
      <c r="FL16" s="66"/>
      <c r="FM16" s="66"/>
      <c r="FN16" s="66"/>
      <c r="FO16" s="66"/>
      <c r="FP16" s="66"/>
      <c r="FQ16" s="66"/>
      <c r="FR16" s="66"/>
      <c r="FS16" s="66"/>
      <c r="FT16" s="66"/>
      <c r="FU16" s="66"/>
      <c r="FV16" s="66"/>
      <c r="FW16" s="66"/>
      <c r="FX16" s="66"/>
      <c r="FY16" s="65"/>
      <c r="FZ16" s="61"/>
      <c r="GA16" s="61"/>
      <c r="GB16" s="61"/>
      <c r="GC16" s="61"/>
      <c r="GD16" s="61"/>
      <c r="GE16" s="61"/>
      <c r="GF16" s="61"/>
      <c r="GG16" s="61"/>
      <c r="GH16" s="61"/>
      <c r="GI16" s="61"/>
      <c r="GJ16" s="61"/>
      <c r="GK16" s="61"/>
      <c r="GL16" s="61"/>
      <c r="GM16" s="61"/>
      <c r="GN16" s="61"/>
      <c r="GO16" s="61"/>
      <c r="GP16" s="61"/>
      <c r="GQ16" s="61"/>
      <c r="GR16" s="61"/>
      <c r="GS16" s="61"/>
      <c r="GT16" s="61"/>
    </row>
    <row r="17" spans="4:202" x14ac:dyDescent="0.25">
      <c r="E17" s="61"/>
      <c r="F17" s="61"/>
      <c r="G17" s="61"/>
      <c r="H17" s="61"/>
      <c r="I17" s="61"/>
      <c r="J17" s="61"/>
      <c r="K17" s="61"/>
      <c r="L17" s="61"/>
      <c r="M17" s="92">
        <f ca="1">NOW()</f>
        <v>43445.405055555559</v>
      </c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3"/>
      <c r="AR17" s="93"/>
      <c r="AS17" s="93"/>
      <c r="AT17" s="93"/>
      <c r="AU17" s="93"/>
      <c r="AV17" s="93"/>
      <c r="AW17" s="93"/>
      <c r="AX17" s="93"/>
      <c r="AY17" s="93"/>
      <c r="AZ17" s="93"/>
      <c r="BA17" s="93"/>
      <c r="BB17" s="61"/>
      <c r="BC17" s="138" t="s">
        <v>80</v>
      </c>
      <c r="BD17" s="138"/>
      <c r="BE17" s="138"/>
      <c r="BF17" s="138"/>
      <c r="BG17" s="138"/>
      <c r="BH17" s="138"/>
      <c r="BI17" s="138"/>
      <c r="BJ17" s="138"/>
      <c r="BK17" s="138"/>
      <c r="BL17" s="138"/>
      <c r="BM17" s="138"/>
      <c r="BN17" s="138"/>
      <c r="BO17" s="138"/>
      <c r="BP17" s="138"/>
      <c r="BQ17" s="138"/>
      <c r="BR17" s="138"/>
      <c r="BS17" s="138"/>
      <c r="BT17" s="138"/>
      <c r="BU17" s="138"/>
      <c r="BV17" s="138"/>
      <c r="BW17" s="138"/>
      <c r="BX17" s="138"/>
      <c r="BY17" s="138"/>
      <c r="BZ17" s="138"/>
      <c r="CA17" s="138"/>
      <c r="CB17" s="138"/>
      <c r="CC17" s="138"/>
      <c r="CD17" s="138"/>
      <c r="CE17" s="138"/>
      <c r="CF17" s="138"/>
      <c r="CG17" s="138"/>
      <c r="CH17" s="138"/>
      <c r="CI17" s="138"/>
      <c r="CJ17" s="138"/>
      <c r="CK17" s="138"/>
      <c r="CL17" s="138"/>
      <c r="CM17" s="138"/>
      <c r="CN17" s="136" t="str">
        <f>IFERROR(VLOOKUP(AE8,REQUISIÇÕES!$A:$K,11,0),"")</f>
        <v>Lucas</v>
      </c>
      <c r="CO17" s="136"/>
      <c r="CP17" s="136"/>
      <c r="CQ17" s="136"/>
      <c r="CR17" s="136"/>
      <c r="CS17" s="136"/>
      <c r="CT17" s="136"/>
      <c r="CU17" s="136"/>
      <c r="CV17" s="136"/>
      <c r="CW17" s="136"/>
      <c r="CX17" s="136"/>
      <c r="CY17" s="136"/>
      <c r="CZ17" s="136"/>
      <c r="DA17" s="136"/>
      <c r="DB17" s="136"/>
      <c r="DC17" s="136"/>
      <c r="DD17" s="136"/>
      <c r="DE17" s="136"/>
      <c r="DF17" s="136"/>
      <c r="DG17" s="136"/>
      <c r="DH17" s="136"/>
      <c r="DI17" s="136"/>
      <c r="DJ17" s="136"/>
      <c r="DK17" s="136"/>
      <c r="DL17" s="136"/>
      <c r="DM17" s="136"/>
      <c r="DN17" s="136"/>
      <c r="DO17" s="136"/>
      <c r="DP17" s="136"/>
      <c r="DQ17" s="136"/>
      <c r="DR17" s="136"/>
      <c r="DS17" s="136"/>
      <c r="DT17" s="136"/>
      <c r="DU17" s="136"/>
      <c r="DV17" s="136"/>
      <c r="DW17" s="136"/>
      <c r="DX17" s="136"/>
      <c r="DY17" s="136"/>
      <c r="DZ17" s="136"/>
      <c r="EA17" s="136"/>
      <c r="EB17" s="136"/>
      <c r="EC17" s="136"/>
      <c r="ED17" s="136"/>
      <c r="EE17" s="136"/>
      <c r="EF17" s="136"/>
      <c r="EG17" s="136"/>
      <c r="EH17" s="136"/>
      <c r="EI17" s="136"/>
      <c r="EJ17" s="136"/>
      <c r="EK17" s="136"/>
      <c r="EL17" s="136"/>
      <c r="EM17" s="136"/>
      <c r="EN17" s="136"/>
      <c r="EO17" s="136"/>
      <c r="EP17" s="136"/>
      <c r="EQ17" s="136"/>
      <c r="ER17" s="136"/>
      <c r="ES17" s="136"/>
      <c r="ET17" s="136"/>
      <c r="EU17" s="136"/>
      <c r="EV17" s="136"/>
      <c r="EW17" s="136"/>
      <c r="EX17" s="136"/>
      <c r="EY17" s="136"/>
      <c r="EZ17" s="136"/>
      <c r="FA17" s="136"/>
      <c r="FB17" s="136"/>
      <c r="FC17" s="136"/>
      <c r="FD17" s="136"/>
      <c r="FE17" s="136"/>
      <c r="FF17" s="136"/>
      <c r="FG17" s="136"/>
      <c r="FH17" s="136"/>
      <c r="FI17" s="136"/>
      <c r="FJ17" s="136"/>
      <c r="FK17" s="136"/>
      <c r="FL17" s="136"/>
      <c r="FM17" s="136"/>
      <c r="FN17" s="136"/>
      <c r="FO17" s="136"/>
      <c r="FP17" s="136"/>
      <c r="FQ17" s="136"/>
      <c r="FR17" s="136"/>
      <c r="FS17" s="136"/>
      <c r="FT17" s="136"/>
      <c r="FU17" s="61"/>
      <c r="FV17" s="61"/>
      <c r="FW17" s="61"/>
      <c r="FX17" s="61"/>
      <c r="FY17" s="61"/>
      <c r="FZ17" s="61"/>
      <c r="GA17" s="61"/>
      <c r="GB17" s="61"/>
      <c r="GC17" s="61"/>
      <c r="GD17" s="61"/>
      <c r="GE17" s="61"/>
      <c r="GF17" s="61"/>
      <c r="GG17" s="61"/>
      <c r="GH17" s="61"/>
      <c r="GI17" s="61"/>
      <c r="GJ17" s="61"/>
      <c r="GK17" s="61"/>
      <c r="GL17" s="61"/>
      <c r="GM17" s="61"/>
      <c r="GN17" s="61"/>
      <c r="GO17" s="61"/>
      <c r="GP17" s="61"/>
      <c r="GQ17" s="61"/>
      <c r="GR17" s="61"/>
    </row>
    <row r="18" spans="4:202" x14ac:dyDescent="0.25"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1"/>
      <c r="CB18" s="61"/>
      <c r="CC18" s="61"/>
      <c r="CD18" s="61"/>
      <c r="CE18" s="61"/>
      <c r="CF18" s="61"/>
      <c r="CG18" s="61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  <c r="EA18" s="61"/>
      <c r="EB18" s="61"/>
      <c r="EC18" s="61"/>
      <c r="ED18" s="61"/>
      <c r="EE18" s="61"/>
      <c r="EF18" s="61"/>
      <c r="EG18" s="61"/>
      <c r="EH18" s="61"/>
      <c r="EI18" s="61"/>
      <c r="EJ18" s="61"/>
      <c r="EK18" s="61"/>
      <c r="EL18" s="61"/>
      <c r="EM18" s="61"/>
      <c r="EN18" s="61"/>
      <c r="EO18" s="61"/>
      <c r="EP18" s="61"/>
      <c r="EQ18" s="61"/>
      <c r="ER18" s="61"/>
      <c r="ES18" s="61"/>
      <c r="ET18" s="61"/>
      <c r="EU18" s="61"/>
      <c r="EV18" s="61"/>
      <c r="EW18" s="61"/>
      <c r="EX18" s="61"/>
      <c r="EY18" s="61"/>
      <c r="EZ18" s="61"/>
      <c r="FA18" s="61"/>
      <c r="FB18" s="61"/>
      <c r="FC18" s="61"/>
      <c r="FD18" s="61"/>
      <c r="FE18" s="61"/>
      <c r="FF18" s="61"/>
      <c r="FG18" s="61"/>
      <c r="FH18" s="61"/>
      <c r="FI18" s="61"/>
      <c r="FJ18" s="61"/>
      <c r="FK18" s="61"/>
      <c r="FL18" s="61"/>
      <c r="FM18" s="61"/>
      <c r="FN18" s="61"/>
      <c r="FO18" s="61"/>
      <c r="FP18" s="61"/>
      <c r="FQ18" s="61"/>
      <c r="FR18" s="61"/>
      <c r="FS18" s="61"/>
      <c r="FT18" s="61"/>
      <c r="FU18" s="61"/>
      <c r="FV18" s="61"/>
      <c r="FW18" s="61"/>
      <c r="FX18" s="61"/>
      <c r="FY18" s="61"/>
      <c r="FZ18" s="61"/>
      <c r="GA18" s="61"/>
      <c r="GB18" s="61"/>
      <c r="GC18" s="61"/>
      <c r="GD18" s="61"/>
      <c r="GE18" s="61"/>
      <c r="GF18" s="61"/>
      <c r="GG18" s="61"/>
      <c r="GH18" s="61"/>
      <c r="GI18" s="61"/>
      <c r="GJ18" s="61"/>
      <c r="GK18" s="61"/>
      <c r="GL18" s="61"/>
      <c r="GM18" s="61"/>
      <c r="GN18" s="61"/>
      <c r="GO18" s="61"/>
      <c r="GP18" s="61"/>
      <c r="GQ18" s="61"/>
      <c r="GR18" s="61"/>
    </row>
    <row r="19" spans="4:202" x14ac:dyDescent="0.25"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166"/>
      <c r="S19" s="166"/>
      <c r="T19" s="166"/>
      <c r="U19" s="166"/>
      <c r="V19" s="166"/>
      <c r="W19" s="168" t="s">
        <v>63</v>
      </c>
      <c r="X19" s="169"/>
      <c r="Y19" s="169"/>
      <c r="Z19" s="169"/>
      <c r="AA19" s="169"/>
      <c r="AB19" s="169"/>
      <c r="AC19" s="169"/>
      <c r="AD19" s="169"/>
      <c r="AE19" s="169"/>
      <c r="AF19" s="169"/>
      <c r="AG19" s="169"/>
      <c r="AH19" s="169"/>
      <c r="AI19" s="169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69"/>
      <c r="AX19" s="169"/>
      <c r="AY19" s="169"/>
      <c r="AZ19" s="169"/>
      <c r="BA19" s="169"/>
      <c r="BB19" s="169"/>
      <c r="BC19" s="169"/>
      <c r="BD19" s="169"/>
      <c r="BE19" s="169"/>
      <c r="BF19" s="169"/>
      <c r="BG19" s="169"/>
      <c r="BH19" s="169"/>
      <c r="BI19" s="169"/>
      <c r="BJ19" s="169"/>
      <c r="BK19" s="169"/>
      <c r="BL19" s="169"/>
      <c r="BM19" s="169"/>
      <c r="BN19" s="169"/>
      <c r="BO19" s="169"/>
      <c r="BP19" s="169"/>
      <c r="BQ19" s="169"/>
      <c r="BR19" s="169"/>
      <c r="BS19" s="169"/>
      <c r="BT19" s="169"/>
      <c r="BU19" s="169"/>
      <c r="BV19" s="169"/>
      <c r="BW19" s="169"/>
      <c r="BX19" s="169"/>
      <c r="BY19" s="169"/>
      <c r="BZ19" s="169"/>
      <c r="CA19" s="169"/>
      <c r="CB19" s="169"/>
      <c r="CC19" s="169"/>
      <c r="CD19" s="169"/>
      <c r="CE19" s="169"/>
      <c r="CF19" s="169"/>
      <c r="CG19" s="169"/>
      <c r="CH19" s="169"/>
      <c r="CI19" s="169"/>
      <c r="CJ19" s="169"/>
      <c r="CK19" s="169"/>
      <c r="CL19" s="169"/>
      <c r="CM19" s="169"/>
      <c r="CN19" s="169"/>
      <c r="CO19" s="169"/>
      <c r="CP19" s="169"/>
      <c r="CQ19" s="169"/>
      <c r="CR19" s="169"/>
      <c r="CS19" s="169"/>
      <c r="CT19" s="169"/>
      <c r="CU19" s="169"/>
      <c r="CV19" s="169"/>
      <c r="CW19" s="169"/>
      <c r="CX19" s="169"/>
      <c r="CY19" s="169"/>
      <c r="CZ19" s="169"/>
      <c r="DA19" s="169"/>
      <c r="DB19" s="169"/>
      <c r="DC19" s="169"/>
      <c r="DD19" s="169"/>
      <c r="DE19" s="169"/>
      <c r="DF19" s="169"/>
      <c r="DG19" s="169"/>
      <c r="DH19" s="169"/>
      <c r="DI19" s="169"/>
      <c r="DJ19" s="169"/>
      <c r="DK19" s="169"/>
      <c r="DL19" s="169"/>
      <c r="DM19" s="169"/>
      <c r="DN19" s="169"/>
      <c r="DO19" s="169"/>
      <c r="DP19" s="169"/>
      <c r="DQ19" s="169"/>
      <c r="DR19" s="169"/>
      <c r="DS19" s="169"/>
      <c r="DT19" s="169"/>
      <c r="DU19" s="169"/>
      <c r="DV19" s="169"/>
      <c r="DW19" s="169"/>
      <c r="DX19" s="169"/>
      <c r="DY19" s="169"/>
      <c r="DZ19" s="169"/>
      <c r="EA19" s="169"/>
      <c r="EB19" s="169"/>
      <c r="EC19" s="169"/>
      <c r="ED19" s="169"/>
      <c r="EE19" s="169"/>
      <c r="EF19" s="169"/>
      <c r="EG19" s="169"/>
      <c r="EH19" s="169"/>
      <c r="EI19" s="169"/>
      <c r="EJ19" s="169"/>
      <c r="EK19" s="169"/>
      <c r="EL19" s="169"/>
      <c r="EM19" s="169"/>
      <c r="EN19" s="169"/>
      <c r="EO19" s="169"/>
      <c r="EP19" s="169"/>
      <c r="EQ19" s="169"/>
      <c r="ER19" s="169"/>
      <c r="ES19" s="169"/>
      <c r="ET19" s="169"/>
      <c r="EU19" s="169"/>
      <c r="EV19" s="169"/>
      <c r="EW19" s="169"/>
      <c r="EX19" s="169"/>
      <c r="EY19" s="169"/>
      <c r="EZ19" s="169"/>
      <c r="FA19" s="169"/>
      <c r="FB19" s="169"/>
      <c r="FC19" s="169"/>
      <c r="FD19" s="169"/>
      <c r="FE19" s="169"/>
      <c r="FF19" s="169"/>
      <c r="FG19" s="169"/>
      <c r="FH19" s="169"/>
      <c r="FI19" s="169"/>
      <c r="FJ19" s="169"/>
      <c r="FK19" s="169"/>
      <c r="FL19" s="169"/>
      <c r="FM19" s="169"/>
      <c r="FN19" s="169"/>
      <c r="FO19" s="169"/>
      <c r="FP19" s="169"/>
      <c r="FQ19" s="169"/>
      <c r="FR19" s="169"/>
      <c r="FS19" s="169"/>
      <c r="FT19" s="169"/>
      <c r="FU19" s="169"/>
      <c r="FV19" s="169"/>
      <c r="FW19" s="170"/>
      <c r="FX19" s="62"/>
      <c r="FY19" s="62"/>
      <c r="FZ19" s="62"/>
      <c r="GA19" s="62"/>
      <c r="GB19" s="62"/>
      <c r="GC19" s="62"/>
      <c r="GD19" s="62"/>
      <c r="GE19" s="62"/>
      <c r="GF19" s="61"/>
      <c r="GG19" s="61"/>
      <c r="GH19" s="61"/>
      <c r="GI19" s="61"/>
      <c r="GJ19" s="61"/>
      <c r="GK19" s="61"/>
      <c r="GL19" s="61"/>
      <c r="GM19" s="61"/>
      <c r="GN19" s="61"/>
      <c r="GO19" s="61"/>
      <c r="GP19" s="61"/>
      <c r="GQ19" s="61"/>
      <c r="GR19" s="61"/>
    </row>
    <row r="20" spans="4:202" ht="17.25" customHeight="1" x14ac:dyDescent="0.25">
      <c r="E20" s="167"/>
      <c r="F20" s="167"/>
      <c r="G20" s="167"/>
      <c r="H20" s="167"/>
      <c r="I20" s="167"/>
      <c r="J20" s="167"/>
      <c r="K20" s="167"/>
      <c r="L20" s="167"/>
      <c r="M20" s="167"/>
      <c r="N20" s="167"/>
      <c r="O20" s="167"/>
      <c r="P20" s="167"/>
      <c r="Q20" s="167"/>
      <c r="R20" s="167"/>
      <c r="S20" s="167"/>
      <c r="T20" s="167"/>
      <c r="U20" s="167"/>
      <c r="V20" s="167"/>
      <c r="W20" s="171"/>
      <c r="X20" s="172"/>
      <c r="Y20" s="172"/>
      <c r="Z20" s="172"/>
      <c r="AA20" s="172"/>
      <c r="AB20" s="172"/>
      <c r="AC20" s="172"/>
      <c r="AD20" s="172"/>
      <c r="AE20" s="172"/>
      <c r="AF20" s="172"/>
      <c r="AG20" s="172"/>
      <c r="AH20" s="172"/>
      <c r="AI20" s="172"/>
      <c r="AJ20" s="172"/>
      <c r="AK20" s="172"/>
      <c r="AL20" s="172"/>
      <c r="AM20" s="172"/>
      <c r="AN20" s="172"/>
      <c r="AO20" s="172"/>
      <c r="AP20" s="172"/>
      <c r="AQ20" s="172"/>
      <c r="AR20" s="172"/>
      <c r="AS20" s="172"/>
      <c r="AT20" s="172"/>
      <c r="AU20" s="172"/>
      <c r="AV20" s="172"/>
      <c r="AW20" s="172"/>
      <c r="AX20" s="172"/>
      <c r="AY20" s="172"/>
      <c r="AZ20" s="172"/>
      <c r="BA20" s="172"/>
      <c r="BB20" s="172"/>
      <c r="BC20" s="172"/>
      <c r="BD20" s="172"/>
      <c r="BE20" s="172"/>
      <c r="BF20" s="172"/>
      <c r="BG20" s="172"/>
      <c r="BH20" s="172"/>
      <c r="BI20" s="172"/>
      <c r="BJ20" s="172"/>
      <c r="BK20" s="172"/>
      <c r="BL20" s="172"/>
      <c r="BM20" s="172"/>
      <c r="BN20" s="172"/>
      <c r="BO20" s="172"/>
      <c r="BP20" s="172"/>
      <c r="BQ20" s="172"/>
      <c r="BR20" s="172"/>
      <c r="BS20" s="172"/>
      <c r="BT20" s="172"/>
      <c r="BU20" s="172"/>
      <c r="BV20" s="172"/>
      <c r="BW20" s="172"/>
      <c r="BX20" s="172"/>
      <c r="BY20" s="172"/>
      <c r="BZ20" s="172"/>
      <c r="CA20" s="172"/>
      <c r="CB20" s="172"/>
      <c r="CC20" s="172"/>
      <c r="CD20" s="172"/>
      <c r="CE20" s="172"/>
      <c r="CF20" s="172"/>
      <c r="CG20" s="172"/>
      <c r="CH20" s="172"/>
      <c r="CI20" s="172"/>
      <c r="CJ20" s="172"/>
      <c r="CK20" s="172"/>
      <c r="CL20" s="172"/>
      <c r="CM20" s="172"/>
      <c r="CN20" s="172"/>
      <c r="CO20" s="172"/>
      <c r="CP20" s="172"/>
      <c r="CQ20" s="172"/>
      <c r="CR20" s="172"/>
      <c r="CS20" s="172"/>
      <c r="CT20" s="172"/>
      <c r="CU20" s="172"/>
      <c r="CV20" s="172"/>
      <c r="CW20" s="172"/>
      <c r="CX20" s="172"/>
      <c r="CY20" s="172"/>
      <c r="CZ20" s="172"/>
      <c r="DA20" s="172"/>
      <c r="DB20" s="172"/>
      <c r="DC20" s="172"/>
      <c r="DD20" s="172"/>
      <c r="DE20" s="172"/>
      <c r="DF20" s="172"/>
      <c r="DG20" s="172"/>
      <c r="DH20" s="172"/>
      <c r="DI20" s="172"/>
      <c r="DJ20" s="172"/>
      <c r="DK20" s="172"/>
      <c r="DL20" s="172"/>
      <c r="DM20" s="172"/>
      <c r="DN20" s="172"/>
      <c r="DO20" s="172"/>
      <c r="DP20" s="172"/>
      <c r="DQ20" s="172"/>
      <c r="DR20" s="172"/>
      <c r="DS20" s="172"/>
      <c r="DT20" s="172"/>
      <c r="DU20" s="172"/>
      <c r="DV20" s="172"/>
      <c r="DW20" s="172"/>
      <c r="DX20" s="172"/>
      <c r="DY20" s="172"/>
      <c r="DZ20" s="172"/>
      <c r="EA20" s="172"/>
      <c r="EB20" s="172"/>
      <c r="EC20" s="172"/>
      <c r="ED20" s="172"/>
      <c r="EE20" s="172"/>
      <c r="EF20" s="172"/>
      <c r="EG20" s="172"/>
      <c r="EH20" s="172"/>
      <c r="EI20" s="172"/>
      <c r="EJ20" s="172"/>
      <c r="EK20" s="172"/>
      <c r="EL20" s="172"/>
      <c r="EM20" s="172"/>
      <c r="EN20" s="172"/>
      <c r="EO20" s="172"/>
      <c r="EP20" s="172"/>
      <c r="EQ20" s="172"/>
      <c r="ER20" s="172"/>
      <c r="ES20" s="172"/>
      <c r="ET20" s="172"/>
      <c r="EU20" s="172"/>
      <c r="EV20" s="172"/>
      <c r="EW20" s="172"/>
      <c r="EX20" s="172"/>
      <c r="EY20" s="172"/>
      <c r="EZ20" s="172"/>
      <c r="FA20" s="172"/>
      <c r="FB20" s="172"/>
      <c r="FC20" s="172"/>
      <c r="FD20" s="172"/>
      <c r="FE20" s="172"/>
      <c r="FF20" s="172"/>
      <c r="FG20" s="172"/>
      <c r="FH20" s="172"/>
      <c r="FI20" s="172"/>
      <c r="FJ20" s="172"/>
      <c r="FK20" s="172"/>
      <c r="FL20" s="172"/>
      <c r="FM20" s="172"/>
      <c r="FN20" s="172"/>
      <c r="FO20" s="172"/>
      <c r="FP20" s="172"/>
      <c r="FQ20" s="172"/>
      <c r="FR20" s="172"/>
      <c r="FS20" s="172"/>
      <c r="FT20" s="172"/>
      <c r="FU20" s="172"/>
      <c r="FV20" s="172"/>
      <c r="FW20" s="173"/>
      <c r="FX20" s="62"/>
      <c r="FY20" s="62"/>
      <c r="FZ20" s="62"/>
      <c r="GA20" s="62"/>
      <c r="GB20" s="62"/>
      <c r="GC20" s="62"/>
      <c r="GD20" s="62"/>
      <c r="GE20" s="62"/>
      <c r="GF20" s="61"/>
      <c r="GG20" s="61"/>
      <c r="GH20" s="61"/>
      <c r="GI20" s="61"/>
      <c r="GJ20" s="61"/>
      <c r="GK20" s="61"/>
      <c r="GL20" s="61"/>
      <c r="GM20" s="61"/>
      <c r="GN20" s="61"/>
      <c r="GO20" s="61"/>
      <c r="GP20" s="61"/>
      <c r="GQ20" s="61"/>
      <c r="GR20" s="61"/>
    </row>
    <row r="21" spans="4:202" s="68" customFormat="1" ht="11.25" customHeight="1" x14ac:dyDescent="0.25">
      <c r="E21" s="139" t="s">
        <v>84</v>
      </c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1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  <c r="AH21" s="145"/>
      <c r="AI21" s="145"/>
      <c r="AJ21" s="145"/>
      <c r="AK21" s="145"/>
      <c r="AL21" s="145"/>
      <c r="AM21" s="145"/>
      <c r="AN21" s="145"/>
      <c r="AO21" s="145"/>
      <c r="AP21" s="145"/>
      <c r="AQ21" s="145"/>
      <c r="AR21" s="145"/>
      <c r="AS21" s="145"/>
      <c r="AT21" s="145"/>
      <c r="AU21" s="145"/>
      <c r="AV21" s="145"/>
      <c r="AW21" s="145"/>
      <c r="AX21" s="145"/>
      <c r="AY21" s="145"/>
      <c r="AZ21" s="145"/>
      <c r="BA21" s="145"/>
      <c r="BB21" s="145"/>
      <c r="BC21" s="145"/>
      <c r="BD21" s="145"/>
      <c r="BE21" s="145"/>
      <c r="BF21" s="145"/>
      <c r="BG21" s="145"/>
      <c r="BH21" s="145"/>
      <c r="BI21" s="145"/>
      <c r="BJ21" s="145"/>
      <c r="BK21" s="145"/>
      <c r="BL21" s="145"/>
      <c r="BM21" s="145"/>
      <c r="BN21" s="145"/>
      <c r="BO21" s="145"/>
      <c r="BP21" s="145"/>
      <c r="BQ21" s="145"/>
      <c r="BR21" s="145"/>
      <c r="BS21" s="145"/>
      <c r="BT21" s="145"/>
      <c r="BU21" s="145"/>
      <c r="BV21" s="145"/>
      <c r="BW21" s="145"/>
      <c r="BX21" s="145"/>
      <c r="BY21" s="145"/>
      <c r="BZ21" s="145"/>
      <c r="CA21" s="145"/>
      <c r="CB21" s="145"/>
      <c r="CC21" s="145"/>
      <c r="CD21" s="145"/>
      <c r="CE21" s="145"/>
      <c r="CF21" s="145"/>
      <c r="CG21" s="145"/>
      <c r="CH21" s="145"/>
      <c r="CI21" s="145"/>
      <c r="CJ21" s="145"/>
      <c r="CK21" s="145"/>
      <c r="CL21" s="145"/>
      <c r="CM21" s="145"/>
      <c r="CN21" s="145"/>
      <c r="CO21" s="145"/>
      <c r="CP21" s="145"/>
      <c r="CQ21" s="145"/>
      <c r="CR21" s="145"/>
      <c r="CS21" s="145"/>
      <c r="CT21" s="145"/>
      <c r="CU21" s="145"/>
      <c r="CV21" s="145"/>
      <c r="CW21" s="145"/>
      <c r="CX21" s="145"/>
      <c r="CY21" s="145"/>
      <c r="CZ21" s="145"/>
      <c r="DA21" s="145"/>
      <c r="DB21" s="145"/>
      <c r="DC21" s="145"/>
      <c r="DD21" s="145"/>
      <c r="DE21" s="145"/>
      <c r="DF21" s="145"/>
      <c r="DG21" s="145"/>
      <c r="DH21" s="145"/>
      <c r="DI21" s="145"/>
      <c r="DJ21" s="145"/>
      <c r="DK21" s="145"/>
      <c r="DL21" s="145"/>
      <c r="DM21" s="145"/>
      <c r="DN21" s="145"/>
      <c r="DO21" s="145"/>
      <c r="DP21" s="145"/>
      <c r="DQ21" s="145"/>
      <c r="DR21" s="145"/>
      <c r="DS21" s="145"/>
      <c r="DT21" s="145"/>
      <c r="DU21" s="145"/>
      <c r="DV21" s="145"/>
      <c r="DW21" s="145"/>
      <c r="DX21" s="145"/>
      <c r="DY21" s="145"/>
      <c r="DZ21" s="145"/>
      <c r="EA21" s="145"/>
      <c r="EB21" s="145"/>
      <c r="EC21" s="145"/>
      <c r="ED21" s="145"/>
      <c r="EE21" s="145"/>
      <c r="EF21" s="145"/>
      <c r="EG21" s="145"/>
      <c r="EH21" s="145"/>
      <c r="EI21" s="145"/>
      <c r="EJ21" s="162" t="s">
        <v>51</v>
      </c>
      <c r="EK21" s="162"/>
      <c r="EL21" s="162"/>
      <c r="EM21" s="162"/>
      <c r="EN21" s="162"/>
      <c r="EO21" s="162"/>
      <c r="EP21" s="162"/>
      <c r="EQ21" s="162"/>
      <c r="ER21" s="162"/>
      <c r="ES21" s="162"/>
      <c r="ET21" s="162"/>
      <c r="EU21" s="162"/>
      <c r="EV21" s="162"/>
      <c r="EW21" s="162"/>
      <c r="EX21" s="162"/>
      <c r="EY21" s="162"/>
      <c r="EZ21" s="162"/>
      <c r="FA21" s="162" t="s">
        <v>52</v>
      </c>
      <c r="FB21" s="162"/>
      <c r="FC21" s="162"/>
      <c r="FD21" s="162"/>
      <c r="FE21" s="162"/>
      <c r="FF21" s="162"/>
      <c r="FG21" s="162"/>
      <c r="FH21" s="162"/>
      <c r="FI21" s="162"/>
      <c r="FJ21" s="162"/>
      <c r="FK21" s="162"/>
      <c r="FL21" s="163" t="s">
        <v>53</v>
      </c>
      <c r="FM21" s="164"/>
      <c r="FN21" s="164"/>
      <c r="FO21" s="164"/>
      <c r="FP21" s="164"/>
      <c r="FQ21" s="164"/>
      <c r="FR21" s="164"/>
      <c r="FS21" s="164"/>
      <c r="FT21" s="164"/>
      <c r="FU21" s="164"/>
      <c r="FV21" s="164"/>
      <c r="FW21" s="165"/>
      <c r="FX21" s="67"/>
      <c r="FY21" s="67"/>
      <c r="FZ21" s="67"/>
      <c r="GA21" s="67"/>
      <c r="GB21" s="67"/>
      <c r="GC21" s="67"/>
      <c r="GD21" s="67"/>
      <c r="GE21" s="67"/>
      <c r="GF21" s="67"/>
      <c r="GG21" s="67"/>
      <c r="GH21" s="67"/>
      <c r="GI21" s="67"/>
      <c r="GJ21" s="67"/>
      <c r="GK21" s="67"/>
      <c r="GL21" s="67"/>
      <c r="GM21" s="67"/>
      <c r="GN21" s="67"/>
      <c r="GO21" s="67"/>
      <c r="GP21" s="67"/>
      <c r="GQ21" s="67"/>
      <c r="GR21" s="67"/>
    </row>
    <row r="22" spans="4:202" ht="9.75" customHeight="1" x14ac:dyDescent="0.25">
      <c r="E22" s="142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4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146"/>
      <c r="AQ22" s="146"/>
      <c r="AR22" s="146"/>
      <c r="AS22" s="146"/>
      <c r="AT22" s="146"/>
      <c r="AU22" s="146"/>
      <c r="AV22" s="146"/>
      <c r="AW22" s="146"/>
      <c r="AX22" s="146"/>
      <c r="AY22" s="146"/>
      <c r="AZ22" s="146"/>
      <c r="BA22" s="146"/>
      <c r="BB22" s="146"/>
      <c r="BC22" s="146"/>
      <c r="BD22" s="146"/>
      <c r="BE22" s="146"/>
      <c r="BF22" s="146"/>
      <c r="BG22" s="146"/>
      <c r="BH22" s="146"/>
      <c r="BI22" s="146"/>
      <c r="BJ22" s="146"/>
      <c r="BK22" s="146"/>
      <c r="BL22" s="146"/>
      <c r="BM22" s="146"/>
      <c r="BN22" s="146"/>
      <c r="BO22" s="146"/>
      <c r="BP22" s="146"/>
      <c r="BQ22" s="146"/>
      <c r="BR22" s="146"/>
      <c r="BS22" s="146"/>
      <c r="BT22" s="146"/>
      <c r="BU22" s="146"/>
      <c r="BV22" s="146"/>
      <c r="BW22" s="146"/>
      <c r="BX22" s="146"/>
      <c r="BY22" s="146"/>
      <c r="BZ22" s="146"/>
      <c r="CA22" s="146"/>
      <c r="CB22" s="146"/>
      <c r="CC22" s="146"/>
      <c r="CD22" s="146"/>
      <c r="CE22" s="146"/>
      <c r="CF22" s="146"/>
      <c r="CG22" s="146"/>
      <c r="CH22" s="146"/>
      <c r="CI22" s="146"/>
      <c r="CJ22" s="146"/>
      <c r="CK22" s="146"/>
      <c r="CL22" s="146"/>
      <c r="CM22" s="146"/>
      <c r="CN22" s="146"/>
      <c r="CO22" s="146"/>
      <c r="CP22" s="146"/>
      <c r="CQ22" s="146"/>
      <c r="CR22" s="146"/>
      <c r="CS22" s="146"/>
      <c r="CT22" s="146"/>
      <c r="CU22" s="146"/>
      <c r="CV22" s="146"/>
      <c r="CW22" s="146"/>
      <c r="CX22" s="146"/>
      <c r="CY22" s="146"/>
      <c r="CZ22" s="146"/>
      <c r="DA22" s="146"/>
      <c r="DB22" s="146"/>
      <c r="DC22" s="146"/>
      <c r="DD22" s="146"/>
      <c r="DE22" s="146"/>
      <c r="DF22" s="146"/>
      <c r="DG22" s="146"/>
      <c r="DH22" s="146"/>
      <c r="DI22" s="146"/>
      <c r="DJ22" s="146"/>
      <c r="DK22" s="146"/>
      <c r="DL22" s="146"/>
      <c r="DM22" s="146"/>
      <c r="DN22" s="146"/>
      <c r="DO22" s="146"/>
      <c r="DP22" s="146"/>
      <c r="DQ22" s="146"/>
      <c r="DR22" s="146"/>
      <c r="DS22" s="146"/>
      <c r="DT22" s="146"/>
      <c r="DU22" s="146"/>
      <c r="DV22" s="146"/>
      <c r="DW22" s="146"/>
      <c r="DX22" s="146"/>
      <c r="DY22" s="146"/>
      <c r="DZ22" s="146"/>
      <c r="EA22" s="146"/>
      <c r="EB22" s="146"/>
      <c r="EC22" s="146"/>
      <c r="ED22" s="146"/>
      <c r="EE22" s="146"/>
      <c r="EF22" s="146"/>
      <c r="EG22" s="146"/>
      <c r="EH22" s="146"/>
      <c r="EI22" s="146"/>
      <c r="EJ22" s="146"/>
      <c r="EK22" s="146"/>
      <c r="EL22" s="146"/>
      <c r="EM22" s="146"/>
      <c r="EN22" s="146"/>
      <c r="EO22" s="146"/>
      <c r="EP22" s="146"/>
      <c r="EQ22" s="146"/>
      <c r="ER22" s="146"/>
      <c r="ES22" s="146"/>
      <c r="ET22" s="146"/>
      <c r="EU22" s="146"/>
      <c r="EV22" s="146"/>
      <c r="EW22" s="146"/>
      <c r="EX22" s="146"/>
      <c r="EY22" s="146"/>
      <c r="EZ22" s="146"/>
      <c r="FA22" s="146"/>
      <c r="FB22" s="146"/>
      <c r="FC22" s="146"/>
      <c r="FD22" s="146"/>
      <c r="FE22" s="146"/>
      <c r="FF22" s="146"/>
      <c r="FG22" s="146"/>
      <c r="FH22" s="146"/>
      <c r="FI22" s="146"/>
      <c r="FJ22" s="146"/>
      <c r="FK22" s="146"/>
      <c r="FL22" s="147"/>
      <c r="FM22" s="148"/>
      <c r="FN22" s="148"/>
      <c r="FO22" s="148"/>
      <c r="FP22" s="148"/>
      <c r="FQ22" s="148"/>
      <c r="FR22" s="148"/>
      <c r="FS22" s="148"/>
      <c r="FT22" s="148"/>
      <c r="FU22" s="148"/>
      <c r="FV22" s="148"/>
      <c r="FW22" s="149"/>
      <c r="FX22" s="61"/>
      <c r="FY22" s="61"/>
      <c r="FZ22" s="61"/>
      <c r="GA22" s="61"/>
      <c r="GB22" s="61"/>
      <c r="GC22" s="61"/>
      <c r="GD22" s="61"/>
      <c r="GE22" s="61"/>
      <c r="GF22" s="61"/>
      <c r="GG22" s="61"/>
      <c r="GH22" s="61"/>
      <c r="GI22" s="61"/>
      <c r="GJ22" s="61"/>
      <c r="GK22" s="61"/>
      <c r="GL22" s="61"/>
      <c r="GM22" s="61"/>
      <c r="GN22" s="61"/>
      <c r="GO22" s="61"/>
      <c r="GP22" s="61"/>
      <c r="GQ22" s="61"/>
      <c r="GR22" s="61"/>
    </row>
    <row r="23" spans="4:202" ht="3" customHeight="1" x14ac:dyDescent="0.25"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1"/>
      <c r="CB23" s="61"/>
      <c r="CC23" s="61"/>
      <c r="CD23" s="61"/>
      <c r="CE23" s="61"/>
      <c r="CF23" s="61"/>
      <c r="CG23" s="61"/>
      <c r="CH23" s="61"/>
      <c r="CI23" s="61"/>
      <c r="CJ23" s="61"/>
      <c r="CK23" s="61"/>
      <c r="CL23" s="61"/>
      <c r="CM23" s="61"/>
      <c r="CN23" s="61"/>
      <c r="CO23" s="61"/>
      <c r="CP23" s="61"/>
      <c r="CQ23" s="61"/>
      <c r="CR23" s="61"/>
      <c r="CS23" s="61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1"/>
      <c r="DH23" s="61"/>
      <c r="DI23" s="61"/>
      <c r="DJ23" s="61"/>
      <c r="DK23" s="61"/>
      <c r="DL23" s="61"/>
      <c r="DM23" s="61"/>
      <c r="DN23" s="61"/>
      <c r="DO23" s="61"/>
      <c r="DP23" s="61"/>
      <c r="DQ23" s="61"/>
      <c r="DR23" s="61"/>
      <c r="DS23" s="61"/>
      <c r="DT23" s="61"/>
      <c r="DU23" s="61"/>
      <c r="DV23" s="61"/>
      <c r="DW23" s="61"/>
      <c r="DX23" s="61"/>
      <c r="DY23" s="61"/>
      <c r="DZ23" s="61"/>
      <c r="EA23" s="61"/>
      <c r="EB23" s="61"/>
      <c r="EC23" s="61"/>
      <c r="ED23" s="61"/>
      <c r="EE23" s="61"/>
      <c r="EF23" s="61"/>
      <c r="EG23" s="61"/>
      <c r="EH23" s="61"/>
      <c r="EI23" s="61"/>
      <c r="EJ23" s="61"/>
      <c r="EK23" s="61"/>
      <c r="EL23" s="61"/>
      <c r="EM23" s="61"/>
      <c r="EN23" s="61"/>
      <c r="EO23" s="61"/>
      <c r="EP23" s="61"/>
      <c r="EQ23" s="61"/>
      <c r="ER23" s="61"/>
      <c r="ES23" s="61"/>
      <c r="ET23" s="61"/>
      <c r="EU23" s="61"/>
      <c r="EV23" s="61"/>
      <c r="EW23" s="61"/>
      <c r="EX23" s="61"/>
      <c r="EY23" s="61"/>
      <c r="EZ23" s="61"/>
      <c r="FA23" s="61"/>
      <c r="FB23" s="61"/>
      <c r="FC23" s="61"/>
      <c r="FD23" s="61"/>
      <c r="FE23" s="61"/>
      <c r="FF23" s="61"/>
      <c r="FG23" s="61"/>
      <c r="FH23" s="61"/>
      <c r="FI23" s="61"/>
      <c r="FJ23" s="61"/>
      <c r="FK23" s="61"/>
      <c r="FL23" s="61"/>
      <c r="FM23" s="61"/>
      <c r="FN23" s="61"/>
      <c r="FO23" s="61"/>
      <c r="FP23" s="61"/>
      <c r="FQ23" s="61"/>
      <c r="FR23" s="61"/>
      <c r="FS23" s="61"/>
      <c r="FT23" s="61"/>
      <c r="FU23" s="61"/>
      <c r="FV23" s="61"/>
      <c r="FW23" s="61"/>
      <c r="FX23" s="61"/>
      <c r="FY23" s="61"/>
      <c r="FZ23" s="61"/>
      <c r="GA23" s="61"/>
      <c r="GB23" s="61"/>
      <c r="GC23" s="61"/>
      <c r="GD23" s="61"/>
      <c r="GE23" s="61"/>
      <c r="GF23" s="61"/>
      <c r="GG23" s="61"/>
      <c r="GH23" s="61"/>
      <c r="GI23" s="61"/>
      <c r="GJ23" s="61"/>
      <c r="GK23" s="61"/>
      <c r="GL23" s="61"/>
      <c r="GM23" s="61"/>
      <c r="GN23" s="61"/>
      <c r="GO23" s="61"/>
      <c r="GP23" s="61"/>
      <c r="GQ23" s="61"/>
      <c r="GR23" s="61"/>
    </row>
    <row r="24" spans="4:202" x14ac:dyDescent="0.25">
      <c r="E24" s="150" t="s">
        <v>54</v>
      </c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2"/>
      <c r="AE24" s="106" t="s">
        <v>50</v>
      </c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/>
      <c r="AW24" s="107"/>
      <c r="AX24" s="107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8"/>
      <c r="BM24" s="159" t="s">
        <v>57</v>
      </c>
      <c r="BN24" s="160"/>
      <c r="BO24" s="160"/>
      <c r="BP24" s="160"/>
      <c r="BQ24" s="160"/>
      <c r="BR24" s="160"/>
      <c r="BS24" s="160"/>
      <c r="BT24" s="160"/>
      <c r="BU24" s="160"/>
      <c r="BV24" s="160"/>
      <c r="BW24" s="160"/>
      <c r="BX24" s="160"/>
      <c r="BY24" s="160"/>
      <c r="BZ24" s="160"/>
      <c r="CA24" s="160"/>
      <c r="CB24" s="160"/>
      <c r="CC24" s="160"/>
      <c r="CD24" s="160"/>
      <c r="CE24" s="160"/>
      <c r="CF24" s="160"/>
      <c r="CG24" s="160"/>
      <c r="CH24" s="160"/>
      <c r="CI24" s="161"/>
      <c r="CJ24" s="106" t="s">
        <v>58</v>
      </c>
      <c r="CK24" s="107"/>
      <c r="CL24" s="107"/>
      <c r="CM24" s="107"/>
      <c r="CN24" s="107"/>
      <c r="CO24" s="107"/>
      <c r="CP24" s="107"/>
      <c r="CQ24" s="107"/>
      <c r="CR24" s="107"/>
      <c r="CS24" s="107"/>
      <c r="CT24" s="107"/>
      <c r="CU24" s="107"/>
      <c r="CV24" s="107"/>
      <c r="CW24" s="107"/>
      <c r="CX24" s="107"/>
      <c r="CY24" s="107"/>
      <c r="CZ24" s="107"/>
      <c r="DA24" s="107"/>
      <c r="DB24" s="107"/>
      <c r="DC24" s="107"/>
      <c r="DD24" s="107"/>
      <c r="DE24" s="107"/>
      <c r="DF24" s="107"/>
      <c r="DG24" s="107"/>
      <c r="DH24" s="107"/>
      <c r="DI24" s="107"/>
      <c r="DJ24" s="107"/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U24" s="107"/>
      <c r="DV24" s="107"/>
      <c r="DW24" s="107"/>
      <c r="DX24" s="107"/>
      <c r="DY24" s="107"/>
      <c r="DZ24" s="107"/>
      <c r="EA24" s="107"/>
      <c r="EB24" s="107"/>
      <c r="EC24" s="107"/>
      <c r="ED24" s="107"/>
      <c r="EE24" s="107"/>
      <c r="EF24" s="107"/>
      <c r="EG24" s="107"/>
      <c r="EH24" s="107"/>
      <c r="EI24" s="107"/>
      <c r="EJ24" s="107"/>
      <c r="EK24" s="107"/>
      <c r="EL24" s="107"/>
      <c r="EM24" s="107"/>
      <c r="EN24" s="107"/>
      <c r="EO24" s="107"/>
      <c r="EP24" s="107"/>
      <c r="EQ24" s="107"/>
      <c r="ER24" s="107"/>
      <c r="ES24" s="107"/>
      <c r="ET24" s="107"/>
      <c r="EU24" s="107"/>
      <c r="EV24" s="107"/>
      <c r="EW24" s="107"/>
      <c r="EX24" s="107"/>
      <c r="EY24" s="107"/>
      <c r="EZ24" s="107"/>
      <c r="FA24" s="107"/>
      <c r="FB24" s="107"/>
      <c r="FC24" s="107"/>
      <c r="FD24" s="107"/>
      <c r="FE24" s="107"/>
      <c r="FF24" s="107"/>
      <c r="FG24" s="107"/>
      <c r="FH24" s="107"/>
      <c r="FI24" s="107"/>
      <c r="FJ24" s="107"/>
      <c r="FK24" s="107"/>
      <c r="FL24" s="107"/>
      <c r="FM24" s="107"/>
      <c r="FN24" s="107"/>
      <c r="FO24" s="107"/>
      <c r="FP24" s="107"/>
      <c r="FQ24" s="107"/>
      <c r="FR24" s="107"/>
      <c r="FS24" s="107"/>
      <c r="FT24" s="107"/>
      <c r="FU24" s="107"/>
      <c r="FV24" s="107"/>
      <c r="FW24" s="108"/>
      <c r="FX24" s="61"/>
      <c r="FY24" s="61"/>
      <c r="FZ24" s="61"/>
      <c r="GA24" s="61"/>
      <c r="GB24" s="61"/>
      <c r="GC24" s="61"/>
      <c r="GD24" s="61"/>
      <c r="GE24" s="61"/>
      <c r="GF24" s="61"/>
      <c r="GG24" s="61"/>
      <c r="GH24" s="61"/>
      <c r="GI24" s="61"/>
      <c r="GJ24" s="61"/>
      <c r="GK24" s="61"/>
      <c r="GL24" s="61"/>
      <c r="GM24" s="61"/>
      <c r="GN24" s="61"/>
      <c r="GO24" s="61"/>
      <c r="GP24" s="61"/>
      <c r="GQ24" s="61"/>
      <c r="GR24" s="61"/>
    </row>
    <row r="25" spans="4:202" ht="10.5" customHeight="1" x14ac:dyDescent="0.25">
      <c r="E25" s="124">
        <f>IFERROR(VLOOKUP(AE25,REQUISIÇÕES!$A:$J,2,0),"")</f>
        <v>42601</v>
      </c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6"/>
      <c r="AE25" s="100">
        <v>75</v>
      </c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01"/>
      <c r="BB25" s="101"/>
      <c r="BC25" s="101"/>
      <c r="BD25" s="101"/>
      <c r="BE25" s="101"/>
      <c r="BF25" s="101"/>
      <c r="BG25" s="101"/>
      <c r="BH25" s="101"/>
      <c r="BI25" s="101"/>
      <c r="BJ25" s="101"/>
      <c r="BK25" s="101"/>
      <c r="BL25" s="102"/>
      <c r="BM25" s="94">
        <f>IFERROR(VLOOKUP(AE25,REQUISIÇÕES!$A:$J,6,0),"")</f>
        <v>15696</v>
      </c>
      <c r="BN25" s="95"/>
      <c r="BO25" s="95"/>
      <c r="BP25" s="95"/>
      <c r="BQ25" s="95"/>
      <c r="BR25" s="95"/>
      <c r="BS25" s="95"/>
      <c r="BT25" s="95"/>
      <c r="BU25" s="95"/>
      <c r="BV25" s="95"/>
      <c r="BW25" s="95"/>
      <c r="BX25" s="95"/>
      <c r="BY25" s="95"/>
      <c r="BZ25" s="95"/>
      <c r="CA25" s="95"/>
      <c r="CB25" s="95"/>
      <c r="CC25" s="95"/>
      <c r="CD25" s="95"/>
      <c r="CE25" s="95"/>
      <c r="CF25" s="95"/>
      <c r="CG25" s="95"/>
      <c r="CH25" s="95"/>
      <c r="CI25" s="96"/>
      <c r="CJ25" s="100" t="str">
        <f>IFERROR(VLOOKUP(AE25,REQUISIÇÕES!$A:$J,7,0),"")</f>
        <v>OLEO LUBRIF GRAU SAE 30 API GL-4 TB 200L</v>
      </c>
      <c r="CK25" s="101"/>
      <c r="CL25" s="101"/>
      <c r="CM25" s="101"/>
      <c r="CN25" s="101"/>
      <c r="CO25" s="101"/>
      <c r="CP25" s="101"/>
      <c r="CQ25" s="101"/>
      <c r="CR25" s="101"/>
      <c r="CS25" s="101"/>
      <c r="CT25" s="101"/>
      <c r="CU25" s="101"/>
      <c r="CV25" s="101"/>
      <c r="CW25" s="101"/>
      <c r="CX25" s="101"/>
      <c r="CY25" s="101"/>
      <c r="CZ25" s="101"/>
      <c r="DA25" s="101"/>
      <c r="DB25" s="101"/>
      <c r="DC25" s="101"/>
      <c r="DD25" s="101"/>
      <c r="DE25" s="101"/>
      <c r="DF25" s="101"/>
      <c r="DG25" s="101"/>
      <c r="DH25" s="101"/>
      <c r="DI25" s="101"/>
      <c r="DJ25" s="101"/>
      <c r="DK25" s="101"/>
      <c r="DL25" s="101"/>
      <c r="DM25" s="101"/>
      <c r="DN25" s="101"/>
      <c r="DO25" s="101"/>
      <c r="DP25" s="101"/>
      <c r="DQ25" s="101"/>
      <c r="DR25" s="101"/>
      <c r="DS25" s="101"/>
      <c r="DT25" s="101"/>
      <c r="DU25" s="101"/>
      <c r="DV25" s="101"/>
      <c r="DW25" s="101"/>
      <c r="DX25" s="101"/>
      <c r="DY25" s="101"/>
      <c r="DZ25" s="101"/>
      <c r="EA25" s="101"/>
      <c r="EB25" s="101"/>
      <c r="EC25" s="101"/>
      <c r="ED25" s="101"/>
      <c r="EE25" s="101"/>
      <c r="EF25" s="101"/>
      <c r="EG25" s="101"/>
      <c r="EH25" s="101"/>
      <c r="EI25" s="101"/>
      <c r="EJ25" s="101"/>
      <c r="EK25" s="101"/>
      <c r="EL25" s="101"/>
      <c r="EM25" s="101"/>
      <c r="EN25" s="101"/>
      <c r="EO25" s="101"/>
      <c r="EP25" s="101"/>
      <c r="EQ25" s="101"/>
      <c r="ER25" s="101"/>
      <c r="ES25" s="101"/>
      <c r="ET25" s="101"/>
      <c r="EU25" s="101"/>
      <c r="EV25" s="101"/>
      <c r="EW25" s="101"/>
      <c r="EX25" s="101"/>
      <c r="EY25" s="101"/>
      <c r="EZ25" s="101"/>
      <c r="FA25" s="101"/>
      <c r="FB25" s="101"/>
      <c r="FC25" s="101"/>
      <c r="FD25" s="101"/>
      <c r="FE25" s="101"/>
      <c r="FF25" s="101"/>
      <c r="FG25" s="101"/>
      <c r="FH25" s="101"/>
      <c r="FI25" s="101"/>
      <c r="FJ25" s="101"/>
      <c r="FK25" s="101"/>
      <c r="FL25" s="101"/>
      <c r="FM25" s="101"/>
      <c r="FN25" s="101"/>
      <c r="FO25" s="101"/>
      <c r="FP25" s="101"/>
      <c r="FQ25" s="101"/>
      <c r="FR25" s="101"/>
      <c r="FS25" s="101"/>
      <c r="FT25" s="101"/>
      <c r="FU25" s="101"/>
      <c r="FV25" s="101"/>
      <c r="FW25" s="102"/>
      <c r="FX25" s="61"/>
      <c r="FY25" s="61"/>
      <c r="FZ25" s="61"/>
      <c r="GA25" s="61"/>
      <c r="GB25" s="61"/>
      <c r="GC25" s="61"/>
      <c r="GD25" s="61"/>
      <c r="GE25" s="61"/>
      <c r="GF25" s="61"/>
      <c r="GG25" s="61"/>
      <c r="GH25" s="61"/>
      <c r="GI25" s="61"/>
      <c r="GJ25" s="61"/>
      <c r="GK25" s="61"/>
      <c r="GL25" s="61"/>
      <c r="GM25" s="61"/>
      <c r="GN25" s="61"/>
      <c r="GO25" s="61"/>
      <c r="GP25" s="61"/>
      <c r="GQ25" s="61"/>
      <c r="GR25" s="61"/>
    </row>
    <row r="26" spans="4:202" ht="10.5" customHeight="1" x14ac:dyDescent="0.25">
      <c r="E26" s="127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/>
      <c r="Z26" s="128"/>
      <c r="AA26" s="128"/>
      <c r="AB26" s="128"/>
      <c r="AC26" s="128"/>
      <c r="AD26" s="129"/>
      <c r="AE26" s="103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 s="104"/>
      <c r="BG26" s="104"/>
      <c r="BH26" s="104"/>
      <c r="BI26" s="104"/>
      <c r="BJ26" s="104"/>
      <c r="BK26" s="104"/>
      <c r="BL26" s="105"/>
      <c r="BM26" s="97"/>
      <c r="BN26" s="98"/>
      <c r="BO26" s="98"/>
      <c r="BP26" s="98"/>
      <c r="BQ26" s="98"/>
      <c r="BR26" s="98"/>
      <c r="BS26" s="98"/>
      <c r="BT26" s="98"/>
      <c r="BU26" s="98"/>
      <c r="BV26" s="98"/>
      <c r="BW26" s="98"/>
      <c r="BX26" s="98"/>
      <c r="BY26" s="98"/>
      <c r="BZ26" s="98"/>
      <c r="CA26" s="98"/>
      <c r="CB26" s="98"/>
      <c r="CC26" s="98"/>
      <c r="CD26" s="98"/>
      <c r="CE26" s="98"/>
      <c r="CF26" s="98"/>
      <c r="CG26" s="98"/>
      <c r="CH26" s="98"/>
      <c r="CI26" s="99"/>
      <c r="CJ26" s="103"/>
      <c r="CK26" s="104"/>
      <c r="CL26" s="104"/>
      <c r="CM26" s="104"/>
      <c r="CN26" s="104"/>
      <c r="CO26" s="104"/>
      <c r="CP26" s="104"/>
      <c r="CQ26" s="104"/>
      <c r="CR26" s="104"/>
      <c r="CS26" s="104"/>
      <c r="CT26" s="104"/>
      <c r="CU26" s="104"/>
      <c r="CV26" s="104"/>
      <c r="CW26" s="104"/>
      <c r="CX26" s="104"/>
      <c r="CY26" s="104"/>
      <c r="CZ26" s="104"/>
      <c r="DA26" s="104"/>
      <c r="DB26" s="104"/>
      <c r="DC26" s="104"/>
      <c r="DD26" s="104"/>
      <c r="DE26" s="104"/>
      <c r="DF26" s="104"/>
      <c r="DG26" s="104"/>
      <c r="DH26" s="104"/>
      <c r="DI26" s="104"/>
      <c r="DJ26" s="104"/>
      <c r="DK26" s="104"/>
      <c r="DL26" s="104"/>
      <c r="DM26" s="104"/>
      <c r="DN26" s="104"/>
      <c r="DO26" s="104"/>
      <c r="DP26" s="104"/>
      <c r="DQ26" s="104"/>
      <c r="DR26" s="104"/>
      <c r="DS26" s="104"/>
      <c r="DT26" s="104"/>
      <c r="DU26" s="104"/>
      <c r="DV26" s="104"/>
      <c r="DW26" s="104"/>
      <c r="DX26" s="104"/>
      <c r="DY26" s="104"/>
      <c r="DZ26" s="104"/>
      <c r="EA26" s="104"/>
      <c r="EB26" s="104"/>
      <c r="EC26" s="104"/>
      <c r="ED26" s="104"/>
      <c r="EE26" s="104"/>
      <c r="EF26" s="104"/>
      <c r="EG26" s="104"/>
      <c r="EH26" s="104"/>
      <c r="EI26" s="104"/>
      <c r="EJ26" s="104"/>
      <c r="EK26" s="104"/>
      <c r="EL26" s="104"/>
      <c r="EM26" s="104"/>
      <c r="EN26" s="104"/>
      <c r="EO26" s="104"/>
      <c r="EP26" s="104"/>
      <c r="EQ26" s="104"/>
      <c r="ER26" s="104"/>
      <c r="ES26" s="104"/>
      <c r="ET26" s="104"/>
      <c r="EU26" s="104"/>
      <c r="EV26" s="104"/>
      <c r="EW26" s="104"/>
      <c r="EX26" s="104"/>
      <c r="EY26" s="104"/>
      <c r="EZ26" s="104"/>
      <c r="FA26" s="104"/>
      <c r="FB26" s="104"/>
      <c r="FC26" s="104"/>
      <c r="FD26" s="104"/>
      <c r="FE26" s="104"/>
      <c r="FF26" s="104"/>
      <c r="FG26" s="104"/>
      <c r="FH26" s="104"/>
      <c r="FI26" s="104"/>
      <c r="FJ26" s="104"/>
      <c r="FK26" s="104"/>
      <c r="FL26" s="104"/>
      <c r="FM26" s="104"/>
      <c r="FN26" s="104"/>
      <c r="FO26" s="104"/>
      <c r="FP26" s="104"/>
      <c r="FQ26" s="104"/>
      <c r="FR26" s="104"/>
      <c r="FS26" s="104"/>
      <c r="FT26" s="104"/>
      <c r="FU26" s="104"/>
      <c r="FV26" s="104"/>
      <c r="FW26" s="105"/>
      <c r="FX26" s="61"/>
      <c r="FY26" s="61"/>
      <c r="FZ26" s="61"/>
      <c r="GA26" s="61"/>
      <c r="GB26" s="61"/>
      <c r="GC26" s="61"/>
      <c r="GD26" s="61"/>
      <c r="GE26" s="61"/>
      <c r="GF26" s="61"/>
      <c r="GG26" s="61"/>
      <c r="GH26" s="61"/>
      <c r="GI26" s="61"/>
      <c r="GJ26" s="61"/>
      <c r="GK26" s="61"/>
      <c r="GL26" s="61"/>
      <c r="GM26" s="61"/>
      <c r="GN26" s="61"/>
      <c r="GO26" s="61"/>
      <c r="GP26" s="61"/>
      <c r="GQ26" s="61"/>
      <c r="GR26" s="61"/>
    </row>
    <row r="27" spans="4:202" x14ac:dyDescent="0.25">
      <c r="E27" s="106" t="s">
        <v>59</v>
      </c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8"/>
      <c r="AE27" s="109" t="s">
        <v>62</v>
      </c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0"/>
      <c r="BB27" s="11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1"/>
      <c r="BM27" s="109" t="s">
        <v>61</v>
      </c>
      <c r="BN27" s="110"/>
      <c r="BO27" s="110"/>
      <c r="BP27" s="110"/>
      <c r="BQ27" s="110"/>
      <c r="BR27" s="110"/>
      <c r="BS27" s="110"/>
      <c r="BT27" s="110"/>
      <c r="BU27" s="110"/>
      <c r="BV27" s="110"/>
      <c r="BW27" s="110"/>
      <c r="BX27" s="110"/>
      <c r="BY27" s="110"/>
      <c r="BZ27" s="110"/>
      <c r="CA27" s="110"/>
      <c r="CB27" s="110"/>
      <c r="CC27" s="110"/>
      <c r="CD27" s="110"/>
      <c r="CE27" s="110"/>
      <c r="CF27" s="110"/>
      <c r="CG27" s="110"/>
      <c r="CH27" s="110"/>
      <c r="CI27" s="110"/>
      <c r="CJ27" s="110"/>
      <c r="CK27" s="110"/>
      <c r="CL27" s="110"/>
      <c r="CM27" s="110"/>
      <c r="CN27" s="110"/>
      <c r="CO27" s="110"/>
      <c r="CP27" s="110"/>
      <c r="CQ27" s="110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1"/>
      <c r="DE27" s="112" t="s">
        <v>60</v>
      </c>
      <c r="DF27" s="113"/>
      <c r="DG27" s="113"/>
      <c r="DH27" s="113"/>
      <c r="DI27" s="113"/>
      <c r="DJ27" s="113"/>
      <c r="DK27" s="113"/>
      <c r="DL27" s="113"/>
      <c r="DM27" s="113"/>
      <c r="DN27" s="113"/>
      <c r="DO27" s="113"/>
      <c r="DP27" s="113"/>
      <c r="DQ27" s="113"/>
      <c r="DR27" s="113"/>
      <c r="DS27" s="113"/>
      <c r="DT27" s="114"/>
      <c r="DU27" s="115" t="s">
        <v>25</v>
      </c>
      <c r="DV27" s="116"/>
      <c r="DW27" s="116"/>
      <c r="DX27" s="116"/>
      <c r="DY27" s="116"/>
      <c r="DZ27" s="116"/>
      <c r="EA27" s="116"/>
      <c r="EB27" s="116"/>
      <c r="EC27" s="116"/>
      <c r="ED27" s="116"/>
      <c r="EE27" s="116"/>
      <c r="EF27" s="116"/>
      <c r="EG27" s="116"/>
      <c r="EH27" s="116"/>
      <c r="EI27" s="116"/>
      <c r="EJ27" s="116"/>
      <c r="EK27" s="116"/>
      <c r="EL27" s="116"/>
      <c r="EM27" s="116"/>
      <c r="EN27" s="116"/>
      <c r="EO27" s="116"/>
      <c r="EP27" s="116"/>
      <c r="EQ27" s="116"/>
      <c r="ER27" s="116"/>
      <c r="ES27" s="116"/>
      <c r="ET27" s="116"/>
      <c r="EU27" s="116"/>
      <c r="EV27" s="116"/>
      <c r="EW27" s="116"/>
      <c r="EX27" s="116"/>
      <c r="EY27" s="116"/>
      <c r="EZ27" s="116"/>
      <c r="FA27" s="116"/>
      <c r="FB27" s="116"/>
      <c r="FC27" s="116"/>
      <c r="FD27" s="116"/>
      <c r="FE27" s="116"/>
      <c r="FF27" s="116"/>
      <c r="FG27" s="116"/>
      <c r="FH27" s="116"/>
      <c r="FI27" s="116"/>
      <c r="FJ27" s="116"/>
      <c r="FK27" s="116"/>
      <c r="FL27" s="116"/>
      <c r="FM27" s="116"/>
      <c r="FN27" s="116"/>
      <c r="FO27" s="116"/>
      <c r="FP27" s="116"/>
      <c r="FQ27" s="116"/>
      <c r="FR27" s="116"/>
      <c r="FS27" s="116"/>
      <c r="FT27" s="116"/>
      <c r="FU27" s="116"/>
      <c r="FV27" s="116"/>
      <c r="FW27" s="117"/>
      <c r="FX27" s="61"/>
      <c r="FY27" s="61"/>
      <c r="FZ27" s="61"/>
      <c r="GA27" s="61"/>
      <c r="GB27" s="61"/>
      <c r="GC27" s="61"/>
      <c r="GD27" s="61"/>
      <c r="GE27" s="61"/>
      <c r="GF27" s="61"/>
      <c r="GG27" s="61"/>
      <c r="GH27" s="61"/>
      <c r="GI27" s="61"/>
      <c r="GJ27" s="61"/>
      <c r="GK27" s="61"/>
      <c r="GL27" s="61"/>
      <c r="GM27" s="61"/>
      <c r="GN27" s="61"/>
      <c r="GO27" s="61"/>
      <c r="GP27" s="61"/>
      <c r="GQ27" s="61"/>
      <c r="GR27" s="61"/>
    </row>
    <row r="28" spans="4:202" ht="9.75" customHeight="1" x14ac:dyDescent="0.25">
      <c r="E28" s="118">
        <f>IFERROR(VLOOKUP(AE25,REQUISIÇÕES!$A:$J,3,0),"")</f>
        <v>0.67569444444444438</v>
      </c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20"/>
      <c r="AE28" s="100">
        <f>IFERROR(VLOOKUP(AE25,REQUISIÇÕES!$A:$J,5,0),"")</f>
        <v>234</v>
      </c>
      <c r="AF28" s="101"/>
      <c r="AG28" s="101"/>
      <c r="AH28" s="101"/>
      <c r="AI28" s="101"/>
      <c r="AJ28" s="101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01"/>
      <c r="AW28" s="101"/>
      <c r="AX28" s="101"/>
      <c r="AY28" s="101"/>
      <c r="AZ28" s="101"/>
      <c r="BA28" s="101"/>
      <c r="BB28" s="101"/>
      <c r="BC28" s="101"/>
      <c r="BD28" s="101"/>
      <c r="BE28" s="101"/>
      <c r="BF28" s="101"/>
      <c r="BG28" s="101"/>
      <c r="BH28" s="101"/>
      <c r="BI28" s="101"/>
      <c r="BJ28" s="101"/>
      <c r="BK28" s="101"/>
      <c r="BL28" s="102"/>
      <c r="BM28" s="130">
        <f>IFERROR(VLOOKUP(AE25,REQUISIÇÕES!$A:$J,4,0),"")</f>
        <v>523</v>
      </c>
      <c r="BN28" s="131"/>
      <c r="BO28" s="131"/>
      <c r="BP28" s="131"/>
      <c r="BQ28" s="131"/>
      <c r="BR28" s="131"/>
      <c r="BS28" s="131"/>
      <c r="BT28" s="131"/>
      <c r="BU28" s="131"/>
      <c r="BV28" s="131"/>
      <c r="BW28" s="131"/>
      <c r="BX28" s="131"/>
      <c r="BY28" s="131"/>
      <c r="BZ28" s="131"/>
      <c r="CA28" s="131"/>
      <c r="CB28" s="131"/>
      <c r="CC28" s="131"/>
      <c r="CD28" s="131"/>
      <c r="CE28" s="131"/>
      <c r="CF28" s="131"/>
      <c r="CG28" s="131"/>
      <c r="CH28" s="131"/>
      <c r="CI28" s="131"/>
      <c r="CJ28" s="131"/>
      <c r="CK28" s="131"/>
      <c r="CL28" s="131"/>
      <c r="CM28" s="131"/>
      <c r="CN28" s="131"/>
      <c r="CO28" s="131"/>
      <c r="CP28" s="131"/>
      <c r="CQ28" s="131"/>
      <c r="CR28" s="131"/>
      <c r="CS28" s="131"/>
      <c r="CT28" s="131"/>
      <c r="CU28" s="131"/>
      <c r="CV28" s="131"/>
      <c r="CW28" s="131"/>
      <c r="CX28" s="131"/>
      <c r="CY28" s="131"/>
      <c r="CZ28" s="131"/>
      <c r="DA28" s="131"/>
      <c r="DB28" s="131"/>
      <c r="DC28" s="131"/>
      <c r="DD28" s="132"/>
      <c r="DE28" s="94" t="str">
        <f>IFERROR(VLOOKUP(AE28,'BD MAT.'!$E:$G,3,0),"")</f>
        <v>PI</v>
      </c>
      <c r="DF28" s="95"/>
      <c r="DG28" s="95"/>
      <c r="DH28" s="95"/>
      <c r="DI28" s="95"/>
      <c r="DJ28" s="95"/>
      <c r="DK28" s="95"/>
      <c r="DL28" s="95"/>
      <c r="DM28" s="95"/>
      <c r="DN28" s="95"/>
      <c r="DO28" s="95"/>
      <c r="DP28" s="95"/>
      <c r="DQ28" s="95"/>
      <c r="DR28" s="95"/>
      <c r="DS28" s="95"/>
      <c r="DT28" s="96"/>
      <c r="DU28" s="153">
        <f>IFERROR(VLOOKUP(AE25,REQUISIÇÕES!$A:$J,8,0),"")</f>
        <v>200</v>
      </c>
      <c r="DV28" s="154"/>
      <c r="DW28" s="154"/>
      <c r="DX28" s="154"/>
      <c r="DY28" s="154"/>
      <c r="DZ28" s="154"/>
      <c r="EA28" s="154"/>
      <c r="EB28" s="154"/>
      <c r="EC28" s="154"/>
      <c r="ED28" s="154"/>
      <c r="EE28" s="154"/>
      <c r="EF28" s="154"/>
      <c r="EG28" s="154"/>
      <c r="EH28" s="154"/>
      <c r="EI28" s="154"/>
      <c r="EJ28" s="154"/>
      <c r="EK28" s="154"/>
      <c r="EL28" s="154"/>
      <c r="EM28" s="154"/>
      <c r="EN28" s="154"/>
      <c r="EO28" s="154"/>
      <c r="EP28" s="154"/>
      <c r="EQ28" s="154"/>
      <c r="ER28" s="154"/>
      <c r="ES28" s="154"/>
      <c r="ET28" s="154"/>
      <c r="EU28" s="154"/>
      <c r="EV28" s="154"/>
      <c r="EW28" s="154"/>
      <c r="EX28" s="154"/>
      <c r="EY28" s="154"/>
      <c r="EZ28" s="154"/>
      <c r="FA28" s="154"/>
      <c r="FB28" s="154"/>
      <c r="FC28" s="154"/>
      <c r="FD28" s="154"/>
      <c r="FE28" s="154"/>
      <c r="FF28" s="154"/>
      <c r="FG28" s="154"/>
      <c r="FH28" s="154"/>
      <c r="FI28" s="154"/>
      <c r="FJ28" s="154"/>
      <c r="FK28" s="154"/>
      <c r="FL28" s="154"/>
      <c r="FM28" s="154"/>
      <c r="FN28" s="154"/>
      <c r="FO28" s="154"/>
      <c r="FP28" s="154"/>
      <c r="FQ28" s="154"/>
      <c r="FR28" s="154"/>
      <c r="FS28" s="154"/>
      <c r="FT28" s="154"/>
      <c r="FU28" s="154"/>
      <c r="FV28" s="154"/>
      <c r="FW28" s="155"/>
      <c r="FX28" s="61"/>
      <c r="FY28" s="61"/>
      <c r="FZ28" s="61"/>
      <c r="GA28" s="61"/>
      <c r="GB28" s="61"/>
      <c r="GC28" s="61"/>
      <c r="GD28" s="61"/>
      <c r="GE28" s="61"/>
      <c r="GF28" s="61"/>
      <c r="GG28" s="61"/>
      <c r="GH28" s="61"/>
      <c r="GI28" s="61"/>
      <c r="GJ28" s="61"/>
      <c r="GK28" s="61"/>
      <c r="GL28" s="61"/>
      <c r="GM28" s="61"/>
      <c r="GN28" s="61"/>
      <c r="GO28" s="61"/>
      <c r="GP28" s="61"/>
      <c r="GQ28" s="61"/>
      <c r="GR28" s="61"/>
    </row>
    <row r="29" spans="4:202" ht="9.75" customHeight="1" x14ac:dyDescent="0.25">
      <c r="E29" s="121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3"/>
      <c r="AE29" s="103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 s="104"/>
      <c r="BG29" s="104"/>
      <c r="BH29" s="104"/>
      <c r="BI29" s="104"/>
      <c r="BJ29" s="104"/>
      <c r="BK29" s="104"/>
      <c r="BL29" s="105"/>
      <c r="BM29" s="133"/>
      <c r="BN29" s="134"/>
      <c r="BO29" s="134"/>
      <c r="BP29" s="134"/>
      <c r="BQ29" s="134"/>
      <c r="BR29" s="134"/>
      <c r="BS29" s="134"/>
      <c r="BT29" s="134"/>
      <c r="BU29" s="134"/>
      <c r="BV29" s="134"/>
      <c r="BW29" s="134"/>
      <c r="BX29" s="134"/>
      <c r="BY29" s="134"/>
      <c r="BZ29" s="134"/>
      <c r="CA29" s="134"/>
      <c r="CB29" s="134"/>
      <c r="CC29" s="134"/>
      <c r="CD29" s="134"/>
      <c r="CE29" s="134"/>
      <c r="CF29" s="134"/>
      <c r="CG29" s="134"/>
      <c r="CH29" s="134"/>
      <c r="CI29" s="134"/>
      <c r="CJ29" s="134"/>
      <c r="CK29" s="134"/>
      <c r="CL29" s="134"/>
      <c r="CM29" s="134"/>
      <c r="CN29" s="134"/>
      <c r="CO29" s="134"/>
      <c r="CP29" s="134"/>
      <c r="CQ29" s="134"/>
      <c r="CR29" s="134"/>
      <c r="CS29" s="134"/>
      <c r="CT29" s="134"/>
      <c r="CU29" s="134"/>
      <c r="CV29" s="134"/>
      <c r="CW29" s="134"/>
      <c r="CX29" s="134"/>
      <c r="CY29" s="134"/>
      <c r="CZ29" s="134"/>
      <c r="DA29" s="134"/>
      <c r="DB29" s="134"/>
      <c r="DC29" s="134"/>
      <c r="DD29" s="135"/>
      <c r="DE29" s="97"/>
      <c r="DF29" s="98"/>
      <c r="DG29" s="98"/>
      <c r="DH29" s="98"/>
      <c r="DI29" s="98"/>
      <c r="DJ29" s="98"/>
      <c r="DK29" s="98"/>
      <c r="DL29" s="98"/>
      <c r="DM29" s="98"/>
      <c r="DN29" s="98"/>
      <c r="DO29" s="98"/>
      <c r="DP29" s="98"/>
      <c r="DQ29" s="98"/>
      <c r="DR29" s="98"/>
      <c r="DS29" s="98"/>
      <c r="DT29" s="99"/>
      <c r="DU29" s="156"/>
      <c r="DV29" s="157"/>
      <c r="DW29" s="157"/>
      <c r="DX29" s="157"/>
      <c r="DY29" s="157"/>
      <c r="DZ29" s="157"/>
      <c r="EA29" s="157"/>
      <c r="EB29" s="157"/>
      <c r="EC29" s="157"/>
      <c r="ED29" s="157"/>
      <c r="EE29" s="157"/>
      <c r="EF29" s="157"/>
      <c r="EG29" s="157"/>
      <c r="EH29" s="157"/>
      <c r="EI29" s="157"/>
      <c r="EJ29" s="157"/>
      <c r="EK29" s="157"/>
      <c r="EL29" s="157"/>
      <c r="EM29" s="157"/>
      <c r="EN29" s="157"/>
      <c r="EO29" s="157"/>
      <c r="EP29" s="157"/>
      <c r="EQ29" s="157"/>
      <c r="ER29" s="157"/>
      <c r="ES29" s="157"/>
      <c r="ET29" s="157"/>
      <c r="EU29" s="157"/>
      <c r="EV29" s="157"/>
      <c r="EW29" s="157"/>
      <c r="EX29" s="157"/>
      <c r="EY29" s="157"/>
      <c r="EZ29" s="157"/>
      <c r="FA29" s="157"/>
      <c r="FB29" s="157"/>
      <c r="FC29" s="157"/>
      <c r="FD29" s="157"/>
      <c r="FE29" s="157"/>
      <c r="FF29" s="157"/>
      <c r="FG29" s="157"/>
      <c r="FH29" s="157"/>
      <c r="FI29" s="157"/>
      <c r="FJ29" s="157"/>
      <c r="FK29" s="157"/>
      <c r="FL29" s="157"/>
      <c r="FM29" s="157"/>
      <c r="FN29" s="157"/>
      <c r="FO29" s="157"/>
      <c r="FP29" s="157"/>
      <c r="FQ29" s="157"/>
      <c r="FR29" s="157"/>
      <c r="FS29" s="157"/>
      <c r="FT29" s="157"/>
      <c r="FU29" s="157"/>
      <c r="FV29" s="157"/>
      <c r="FW29" s="158"/>
      <c r="FX29" s="61"/>
      <c r="FY29" s="61"/>
      <c r="FZ29" s="61"/>
      <c r="GA29" s="61"/>
      <c r="GB29" s="61"/>
      <c r="GC29" s="61"/>
      <c r="GD29" s="61"/>
      <c r="GE29" s="61"/>
      <c r="GF29" s="61"/>
      <c r="GG29" s="61"/>
      <c r="GH29" s="61"/>
      <c r="GI29" s="61"/>
      <c r="GJ29" s="61"/>
      <c r="GK29" s="61"/>
      <c r="GL29" s="61"/>
      <c r="GM29" s="61"/>
      <c r="GN29" s="61"/>
      <c r="GO29" s="61"/>
      <c r="GP29" s="61"/>
      <c r="GQ29" s="61"/>
      <c r="GR29" s="61"/>
    </row>
    <row r="30" spans="4:202" ht="6" customHeight="1" x14ac:dyDescent="0.25"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1"/>
      <c r="AS30" s="61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1"/>
      <c r="CB30" s="61"/>
      <c r="CC30" s="61"/>
      <c r="CD30" s="61"/>
      <c r="CE30" s="61"/>
      <c r="CF30" s="61"/>
      <c r="CG30" s="61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  <c r="EA30" s="61"/>
      <c r="EB30" s="61"/>
      <c r="EC30" s="61"/>
      <c r="ED30" s="61"/>
      <c r="EE30" s="61"/>
      <c r="EF30" s="61"/>
      <c r="EG30" s="61"/>
      <c r="EH30" s="61"/>
      <c r="EI30" s="61"/>
      <c r="EJ30" s="61"/>
      <c r="EK30" s="61"/>
      <c r="EL30" s="61"/>
      <c r="EM30" s="61"/>
      <c r="EN30" s="61"/>
      <c r="EO30" s="61"/>
      <c r="EP30" s="61"/>
      <c r="EQ30" s="61"/>
      <c r="ER30" s="61"/>
      <c r="ES30" s="61"/>
      <c r="ET30" s="61"/>
      <c r="EU30" s="61"/>
      <c r="EV30" s="61"/>
      <c r="EW30" s="61"/>
      <c r="EX30" s="61"/>
      <c r="EY30" s="61"/>
      <c r="EZ30" s="61"/>
      <c r="FA30" s="61"/>
      <c r="FB30" s="61"/>
      <c r="FC30" s="61"/>
      <c r="FD30" s="61"/>
      <c r="FE30" s="61"/>
      <c r="FF30" s="61"/>
      <c r="FG30" s="61"/>
      <c r="FH30" s="61"/>
      <c r="FI30" s="61"/>
      <c r="FJ30" s="61"/>
      <c r="FK30" s="61"/>
      <c r="FL30" s="61"/>
      <c r="FM30" s="61"/>
      <c r="FN30" s="61"/>
      <c r="FO30" s="61"/>
      <c r="FP30" s="61"/>
      <c r="FQ30" s="61"/>
      <c r="FR30" s="61"/>
      <c r="FS30" s="61"/>
      <c r="FT30" s="61"/>
      <c r="FU30" s="61"/>
      <c r="FV30" s="61"/>
      <c r="FW30" s="61"/>
      <c r="FX30" s="61"/>
      <c r="FY30" s="61"/>
      <c r="FZ30" s="61"/>
      <c r="GA30" s="61"/>
      <c r="GB30" s="61"/>
      <c r="GC30" s="61"/>
      <c r="GD30" s="61"/>
      <c r="GE30" s="61"/>
      <c r="GF30" s="61"/>
      <c r="GG30" s="61"/>
      <c r="GH30" s="61"/>
      <c r="GI30" s="61"/>
      <c r="GJ30" s="61"/>
      <c r="GK30" s="61"/>
      <c r="GL30" s="61"/>
      <c r="GM30" s="61"/>
      <c r="GN30" s="61"/>
      <c r="GO30" s="61"/>
      <c r="GP30" s="61"/>
      <c r="GQ30" s="61"/>
      <c r="GR30" s="61"/>
    </row>
    <row r="31" spans="4:202" ht="6" customHeight="1" x14ac:dyDescent="0.25"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1"/>
      <c r="CB31" s="61"/>
      <c r="CC31" s="61"/>
      <c r="CD31" s="61"/>
      <c r="CE31" s="61"/>
      <c r="CF31" s="61"/>
      <c r="CG31" s="61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  <c r="EA31" s="61"/>
      <c r="EB31" s="61"/>
      <c r="EC31" s="61"/>
      <c r="ED31" s="61"/>
      <c r="EE31" s="61"/>
      <c r="EF31" s="61"/>
      <c r="EG31" s="61"/>
      <c r="EH31" s="61"/>
      <c r="EI31" s="61"/>
      <c r="EJ31" s="61"/>
      <c r="EK31" s="61"/>
      <c r="EL31" s="61"/>
      <c r="EM31" s="61"/>
      <c r="EN31" s="61"/>
      <c r="EO31" s="61"/>
      <c r="EP31" s="61"/>
      <c r="EQ31" s="61"/>
      <c r="ER31" s="61"/>
      <c r="ES31" s="61"/>
      <c r="ET31" s="61"/>
      <c r="EU31" s="61"/>
      <c r="EV31" s="61"/>
      <c r="EW31" s="61"/>
      <c r="EX31" s="61"/>
      <c r="EY31" s="61"/>
      <c r="EZ31" s="61"/>
      <c r="FA31" s="61"/>
      <c r="FB31" s="61"/>
      <c r="FC31" s="61"/>
      <c r="FD31" s="61"/>
      <c r="FE31" s="61"/>
      <c r="FF31" s="61"/>
      <c r="FG31" s="61"/>
      <c r="FH31" s="61"/>
      <c r="FI31" s="61"/>
      <c r="FJ31" s="61"/>
      <c r="FK31" s="61"/>
      <c r="FL31" s="61"/>
      <c r="FM31" s="61"/>
      <c r="FN31" s="61"/>
      <c r="FO31" s="61"/>
      <c r="FP31" s="61"/>
      <c r="FQ31" s="61"/>
      <c r="FR31" s="61"/>
      <c r="FS31" s="61"/>
      <c r="FT31" s="61"/>
      <c r="FU31" s="61"/>
      <c r="FV31" s="61"/>
      <c r="FW31" s="61"/>
      <c r="FX31" s="61"/>
      <c r="FY31" s="61"/>
      <c r="FZ31" s="61"/>
      <c r="GA31" s="61"/>
      <c r="GB31" s="61"/>
      <c r="GC31" s="61"/>
      <c r="GD31" s="61"/>
      <c r="GE31" s="61"/>
      <c r="GF31" s="61"/>
      <c r="GG31" s="61"/>
      <c r="GH31" s="61"/>
      <c r="GI31" s="61"/>
      <c r="GJ31" s="61"/>
      <c r="GK31" s="61"/>
      <c r="GL31" s="61"/>
      <c r="GM31" s="61"/>
      <c r="GN31" s="61"/>
      <c r="GO31" s="61"/>
      <c r="GP31" s="61"/>
      <c r="GQ31" s="61"/>
      <c r="GR31" s="61"/>
    </row>
    <row r="32" spans="4:202" x14ac:dyDescent="0.25">
      <c r="D32" s="61"/>
      <c r="E32" s="137" t="s">
        <v>86</v>
      </c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37"/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  <c r="CK32" s="137"/>
      <c r="CL32" s="137"/>
      <c r="CM32" s="137"/>
      <c r="CN32" s="137"/>
      <c r="CO32" s="137"/>
      <c r="CP32" s="137"/>
      <c r="CQ32" s="137"/>
      <c r="CR32" s="137"/>
      <c r="CS32" s="137"/>
      <c r="CT32" s="61"/>
      <c r="CU32" s="61" t="s">
        <v>81</v>
      </c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5"/>
      <c r="DT32" s="65"/>
      <c r="DU32" s="65"/>
      <c r="DV32" s="65"/>
      <c r="DW32" s="65"/>
      <c r="DX32" s="65"/>
      <c r="DY32" s="65"/>
      <c r="DZ32" s="65"/>
      <c r="EA32" s="65"/>
      <c r="EB32" s="65"/>
      <c r="EC32" s="65"/>
      <c r="ED32" s="65"/>
      <c r="EE32" s="65"/>
      <c r="EF32" s="65"/>
      <c r="EG32" s="65"/>
      <c r="EH32" s="65"/>
      <c r="EI32" s="65"/>
      <c r="EJ32" s="65"/>
      <c r="EK32" s="65"/>
      <c r="EL32" s="65"/>
      <c r="EM32" s="65"/>
      <c r="EN32" s="65"/>
      <c r="EO32" s="65"/>
      <c r="EP32" s="65"/>
      <c r="EQ32" s="65"/>
      <c r="ER32" s="65"/>
      <c r="ES32" s="65"/>
      <c r="ET32" s="65"/>
      <c r="EU32" s="65"/>
      <c r="EV32" s="65"/>
      <c r="EW32" s="65"/>
      <c r="EX32" s="65"/>
      <c r="EY32" s="65"/>
      <c r="EZ32" s="65"/>
      <c r="FA32" s="65"/>
      <c r="FB32" s="65"/>
      <c r="FC32" s="65"/>
      <c r="FD32" s="65"/>
      <c r="FE32" s="65"/>
      <c r="FF32" s="65"/>
      <c r="FG32" s="65"/>
      <c r="FH32" s="66"/>
      <c r="FI32" s="66"/>
      <c r="FJ32" s="66"/>
      <c r="FK32" s="66"/>
      <c r="FL32" s="66"/>
      <c r="FM32" s="66"/>
      <c r="FN32" s="66"/>
      <c r="FO32" s="66"/>
      <c r="FP32" s="66"/>
      <c r="FQ32" s="66"/>
      <c r="FR32" s="66"/>
      <c r="FS32" s="66"/>
      <c r="FT32" s="66"/>
      <c r="FU32" s="66"/>
      <c r="FV32" s="66"/>
      <c r="FW32" s="66"/>
      <c r="FX32" s="64"/>
      <c r="FY32" s="61"/>
      <c r="FZ32" s="61"/>
      <c r="GA32" s="61"/>
      <c r="GB32" s="61"/>
      <c r="GC32" s="61"/>
      <c r="GD32" s="61"/>
      <c r="GE32" s="61"/>
      <c r="GF32" s="61"/>
      <c r="GG32" s="61"/>
      <c r="GH32" s="61"/>
      <c r="GI32" s="61"/>
      <c r="GJ32" s="61"/>
      <c r="GK32" s="61"/>
      <c r="GL32" s="61"/>
      <c r="GM32" s="61"/>
      <c r="GN32" s="61"/>
      <c r="GO32" s="61"/>
      <c r="GP32" s="61"/>
      <c r="GQ32" s="61"/>
      <c r="GR32" s="61"/>
      <c r="GS32" s="61"/>
      <c r="GT32" s="61"/>
    </row>
    <row r="33" spans="4:202" x14ac:dyDescent="0.25">
      <c r="D33" s="61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37"/>
      <c r="W33" s="137"/>
      <c r="X33" s="137"/>
      <c r="Y33" s="137"/>
      <c r="Z33" s="137"/>
      <c r="AA33" s="137"/>
      <c r="AB33" s="137"/>
      <c r="AC33" s="137"/>
      <c r="AD33" s="137"/>
      <c r="AE33" s="137"/>
      <c r="AF33" s="137"/>
      <c r="AG33" s="137"/>
      <c r="AH33" s="137"/>
      <c r="AI33" s="137"/>
      <c r="AJ33" s="137"/>
      <c r="AK33" s="137"/>
      <c r="AL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7"/>
      <c r="CS33" s="137"/>
      <c r="CT33" s="61"/>
      <c r="CU33" s="61" t="s">
        <v>55</v>
      </c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5"/>
      <c r="DI33" s="65"/>
      <c r="DJ33" s="65"/>
      <c r="DK33" s="65"/>
      <c r="DL33" s="65"/>
      <c r="DM33" s="65"/>
      <c r="DN33" s="65"/>
      <c r="DO33" s="65"/>
      <c r="DP33" s="65"/>
      <c r="DQ33" s="65"/>
      <c r="DR33" s="65"/>
      <c r="DS33" s="65"/>
      <c r="DT33" s="65"/>
      <c r="DU33" s="65"/>
      <c r="DV33" s="65"/>
      <c r="DW33" s="65"/>
      <c r="DX33" s="65"/>
      <c r="DY33" s="65"/>
      <c r="DZ33" s="65"/>
      <c r="EA33" s="65"/>
      <c r="EB33" s="65"/>
      <c r="EC33" s="65"/>
      <c r="ED33" s="65"/>
      <c r="EE33" s="65"/>
      <c r="EF33" s="65"/>
      <c r="EG33" s="65"/>
      <c r="EH33" s="65"/>
      <c r="EI33" s="65"/>
      <c r="EJ33" s="65"/>
      <c r="EK33" s="65"/>
      <c r="EL33" s="65"/>
      <c r="EM33" s="64" t="s">
        <v>56</v>
      </c>
      <c r="EN33" s="64"/>
      <c r="EO33" s="64"/>
      <c r="EP33" s="64"/>
      <c r="EQ33" s="64"/>
      <c r="ER33" s="64"/>
      <c r="ES33" s="64"/>
      <c r="ET33" s="64"/>
      <c r="EU33" s="64"/>
      <c r="EV33" s="64"/>
      <c r="EW33" s="66"/>
      <c r="EX33" s="66"/>
      <c r="EY33" s="66"/>
      <c r="EZ33" s="66"/>
      <c r="FA33" s="66"/>
      <c r="FB33" s="66"/>
      <c r="FC33" s="66"/>
      <c r="FD33" s="66"/>
      <c r="FE33" s="66"/>
      <c r="FF33" s="66"/>
      <c r="FG33" s="66"/>
      <c r="FH33" s="66"/>
      <c r="FI33" s="66"/>
      <c r="FJ33" s="66"/>
      <c r="FK33" s="66"/>
      <c r="FL33" s="66"/>
      <c r="FM33" s="66"/>
      <c r="FN33" s="66"/>
      <c r="FO33" s="66"/>
      <c r="FP33" s="66"/>
      <c r="FQ33" s="66"/>
      <c r="FR33" s="66"/>
      <c r="FS33" s="66"/>
      <c r="FT33" s="66"/>
      <c r="FU33" s="66"/>
      <c r="FV33" s="66"/>
      <c r="FW33" s="66"/>
      <c r="FX33" s="66"/>
      <c r="FY33" s="65"/>
      <c r="FZ33" s="61"/>
      <c r="GA33" s="61"/>
      <c r="GB33" s="61"/>
      <c r="GC33" s="61"/>
      <c r="GD33" s="61"/>
      <c r="GE33" s="61"/>
      <c r="GF33" s="61"/>
      <c r="GG33" s="61"/>
      <c r="GH33" s="61"/>
      <c r="GI33" s="61"/>
      <c r="GJ33" s="61"/>
      <c r="GK33" s="61"/>
      <c r="GL33" s="61"/>
      <c r="GM33" s="61"/>
      <c r="GN33" s="61"/>
      <c r="GO33" s="61"/>
      <c r="GP33" s="61"/>
      <c r="GQ33" s="61"/>
      <c r="GR33" s="61"/>
      <c r="GS33" s="61"/>
      <c r="GT33" s="61"/>
    </row>
    <row r="34" spans="4:202" x14ac:dyDescent="0.25">
      <c r="E34" s="61"/>
      <c r="F34" s="61"/>
      <c r="G34" s="61"/>
      <c r="H34" s="61"/>
      <c r="I34" s="61"/>
      <c r="J34" s="61"/>
      <c r="K34" s="61"/>
      <c r="L34" s="61"/>
      <c r="M34" s="92">
        <f ca="1">NOW()</f>
        <v>43445.405055555559</v>
      </c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  <c r="AK34" s="93"/>
      <c r="AL34" s="93"/>
      <c r="AM34" s="93"/>
      <c r="AN34" s="93"/>
      <c r="AO34" s="93"/>
      <c r="AP34" s="93"/>
      <c r="AQ34" s="93"/>
      <c r="AR34" s="93"/>
      <c r="AS34" s="93"/>
      <c r="AT34" s="93"/>
      <c r="AU34" s="93"/>
      <c r="AV34" s="93"/>
      <c r="AW34" s="93"/>
      <c r="AX34" s="93"/>
      <c r="AY34" s="93"/>
      <c r="AZ34" s="93"/>
      <c r="BA34" s="93"/>
      <c r="BB34" s="61"/>
      <c r="BC34" s="138" t="s">
        <v>80</v>
      </c>
      <c r="BD34" s="138"/>
      <c r="BE34" s="138"/>
      <c r="BF34" s="138"/>
      <c r="BG34" s="138"/>
      <c r="BH34" s="138"/>
      <c r="BI34" s="138"/>
      <c r="BJ34" s="138"/>
      <c r="BK34" s="138"/>
      <c r="BL34" s="138"/>
      <c r="BM34" s="138"/>
      <c r="BN34" s="138"/>
      <c r="BO34" s="138"/>
      <c r="BP34" s="138"/>
      <c r="BQ34" s="138"/>
      <c r="BR34" s="138"/>
      <c r="BS34" s="138"/>
      <c r="BT34" s="138"/>
      <c r="BU34" s="138"/>
      <c r="BV34" s="138"/>
      <c r="BW34" s="138"/>
      <c r="BX34" s="138"/>
      <c r="BY34" s="138"/>
      <c r="BZ34" s="138"/>
      <c r="CA34" s="138"/>
      <c r="CB34" s="138"/>
      <c r="CC34" s="138"/>
      <c r="CD34" s="138"/>
      <c r="CE34" s="138"/>
      <c r="CF34" s="138"/>
      <c r="CG34" s="138"/>
      <c r="CH34" s="138"/>
      <c r="CI34" s="138"/>
      <c r="CJ34" s="138"/>
      <c r="CK34" s="138"/>
      <c r="CL34" s="138"/>
      <c r="CM34" s="138"/>
      <c r="CN34" s="136" t="str">
        <f>IFERROR(VLOOKUP(AE25,REQUISIÇÕES!$A:$K,11,0),"")</f>
        <v>Matheus</v>
      </c>
      <c r="CO34" s="136"/>
      <c r="CP34" s="136"/>
      <c r="CQ34" s="136"/>
      <c r="CR34" s="136"/>
      <c r="CS34" s="136"/>
      <c r="CT34" s="136"/>
      <c r="CU34" s="136"/>
      <c r="CV34" s="136"/>
      <c r="CW34" s="136"/>
      <c r="CX34" s="136"/>
      <c r="CY34" s="136"/>
      <c r="CZ34" s="136"/>
      <c r="DA34" s="136"/>
      <c r="DB34" s="136"/>
      <c r="DC34" s="136"/>
      <c r="DD34" s="136"/>
      <c r="DE34" s="136"/>
      <c r="DF34" s="136"/>
      <c r="DG34" s="136"/>
      <c r="DH34" s="136"/>
      <c r="DI34" s="136"/>
      <c r="DJ34" s="136"/>
      <c r="DK34" s="136"/>
      <c r="DL34" s="136"/>
      <c r="DM34" s="136"/>
      <c r="DN34" s="136"/>
      <c r="DO34" s="136"/>
      <c r="DP34" s="136"/>
      <c r="DQ34" s="136"/>
      <c r="DR34" s="136"/>
      <c r="DS34" s="136"/>
      <c r="DT34" s="136"/>
      <c r="DU34" s="136"/>
      <c r="DV34" s="136"/>
      <c r="DW34" s="136"/>
      <c r="DX34" s="136"/>
      <c r="DY34" s="136"/>
      <c r="DZ34" s="136"/>
      <c r="EA34" s="136"/>
      <c r="EB34" s="136"/>
      <c r="EC34" s="136"/>
      <c r="ED34" s="136"/>
      <c r="EE34" s="136"/>
      <c r="EF34" s="136"/>
      <c r="EG34" s="136"/>
      <c r="EH34" s="136"/>
      <c r="EI34" s="136"/>
      <c r="EJ34" s="136"/>
      <c r="EK34" s="136"/>
      <c r="EL34" s="136"/>
      <c r="EM34" s="136"/>
      <c r="EN34" s="136"/>
      <c r="EO34" s="136"/>
      <c r="EP34" s="136"/>
      <c r="EQ34" s="136"/>
      <c r="ER34" s="136"/>
      <c r="ES34" s="136"/>
      <c r="ET34" s="136"/>
      <c r="EU34" s="136"/>
      <c r="EV34" s="136"/>
      <c r="EW34" s="136"/>
      <c r="EX34" s="136"/>
      <c r="EY34" s="136"/>
      <c r="EZ34" s="136"/>
      <c r="FA34" s="136"/>
      <c r="FB34" s="136"/>
      <c r="FC34" s="136"/>
      <c r="FD34" s="136"/>
      <c r="FE34" s="136"/>
      <c r="FF34" s="136"/>
      <c r="FG34" s="136"/>
      <c r="FH34" s="136"/>
      <c r="FI34" s="136"/>
      <c r="FJ34" s="136"/>
      <c r="FK34" s="136"/>
      <c r="FL34" s="136"/>
      <c r="FM34" s="136"/>
      <c r="FN34" s="136"/>
      <c r="FO34" s="136"/>
      <c r="FP34" s="136"/>
      <c r="FQ34" s="136"/>
      <c r="FR34" s="136"/>
      <c r="FS34" s="136"/>
      <c r="FT34" s="136"/>
      <c r="FU34" s="61"/>
      <c r="FV34" s="61"/>
      <c r="FW34" s="61"/>
      <c r="FX34" s="61"/>
      <c r="FY34" s="61"/>
      <c r="FZ34" s="61"/>
      <c r="GA34" s="61"/>
      <c r="GB34" s="61"/>
      <c r="GC34" s="61"/>
      <c r="GD34" s="61"/>
      <c r="GE34" s="61"/>
      <c r="GF34" s="61"/>
      <c r="GG34" s="61"/>
      <c r="GH34" s="61"/>
      <c r="GI34" s="61"/>
      <c r="GJ34" s="61"/>
      <c r="GK34" s="61"/>
      <c r="GL34" s="61"/>
      <c r="GM34" s="61"/>
      <c r="GN34" s="61"/>
      <c r="GO34" s="61"/>
      <c r="GP34" s="61"/>
      <c r="GQ34" s="61"/>
      <c r="GR34" s="61"/>
    </row>
    <row r="35" spans="4:202" x14ac:dyDescent="0.25"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1"/>
      <c r="AS35" s="61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1"/>
      <c r="CB35" s="61"/>
      <c r="CC35" s="61"/>
      <c r="CD35" s="61"/>
      <c r="CE35" s="61"/>
      <c r="CF35" s="61"/>
      <c r="CG35" s="61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  <c r="EA35" s="61"/>
      <c r="EB35" s="61"/>
      <c r="EC35" s="61"/>
      <c r="ED35" s="61"/>
      <c r="EE35" s="61"/>
      <c r="EF35" s="61"/>
      <c r="EG35" s="61"/>
      <c r="EH35" s="61"/>
      <c r="EI35" s="61"/>
      <c r="EJ35" s="61"/>
      <c r="EK35" s="61"/>
      <c r="EL35" s="61"/>
      <c r="EM35" s="61"/>
      <c r="EN35" s="61"/>
      <c r="EO35" s="61"/>
      <c r="EP35" s="61"/>
      <c r="EQ35" s="61"/>
      <c r="ER35" s="61"/>
      <c r="ES35" s="61"/>
      <c r="ET35" s="61"/>
      <c r="EU35" s="61"/>
      <c r="EV35" s="61"/>
      <c r="EW35" s="61"/>
      <c r="EX35" s="61"/>
      <c r="EY35" s="61"/>
      <c r="EZ35" s="61"/>
      <c r="FA35" s="61"/>
      <c r="FB35" s="61"/>
      <c r="FC35" s="61"/>
      <c r="FD35" s="61"/>
      <c r="FE35" s="61"/>
      <c r="FF35" s="61"/>
      <c r="FG35" s="61"/>
      <c r="FH35" s="61"/>
      <c r="FI35" s="61"/>
      <c r="FJ35" s="61"/>
      <c r="FK35" s="61"/>
      <c r="FL35" s="61"/>
      <c r="FM35" s="61"/>
      <c r="FN35" s="61"/>
      <c r="FO35" s="61"/>
      <c r="FP35" s="61"/>
      <c r="FQ35" s="61"/>
      <c r="FR35" s="61"/>
      <c r="FS35" s="61"/>
      <c r="FT35" s="61"/>
      <c r="FU35" s="61"/>
      <c r="FV35" s="61"/>
      <c r="FW35" s="61"/>
      <c r="FX35" s="61"/>
      <c r="FY35" s="61"/>
      <c r="FZ35" s="61"/>
      <c r="GA35" s="61"/>
    </row>
    <row r="36" spans="4:202" x14ac:dyDescent="0.25">
      <c r="E36" s="166"/>
      <c r="F36" s="166"/>
      <c r="G36" s="166"/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8" t="s">
        <v>63</v>
      </c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169"/>
      <c r="AM36" s="169"/>
      <c r="AN36" s="169"/>
      <c r="AO36" s="169"/>
      <c r="AP36" s="169"/>
      <c r="AQ36" s="169"/>
      <c r="AR36" s="169"/>
      <c r="AS36" s="169"/>
      <c r="AT36" s="169"/>
      <c r="AU36" s="169"/>
      <c r="AV36" s="169"/>
      <c r="AW36" s="169"/>
      <c r="AX36" s="169"/>
      <c r="AY36" s="169"/>
      <c r="AZ36" s="169"/>
      <c r="BA36" s="169"/>
      <c r="BB36" s="169"/>
      <c r="BC36" s="169"/>
      <c r="BD36" s="169"/>
      <c r="BE36" s="169"/>
      <c r="BF36" s="169"/>
      <c r="BG36" s="169"/>
      <c r="BH36" s="169"/>
      <c r="BI36" s="169"/>
      <c r="BJ36" s="169"/>
      <c r="BK36" s="169"/>
      <c r="BL36" s="169"/>
      <c r="BM36" s="169"/>
      <c r="BN36" s="169"/>
      <c r="BO36" s="169"/>
      <c r="BP36" s="169"/>
      <c r="BQ36" s="169"/>
      <c r="BR36" s="169"/>
      <c r="BS36" s="169"/>
      <c r="BT36" s="169"/>
      <c r="BU36" s="169"/>
      <c r="BV36" s="169"/>
      <c r="BW36" s="169"/>
      <c r="BX36" s="169"/>
      <c r="BY36" s="169"/>
      <c r="BZ36" s="169"/>
      <c r="CA36" s="169"/>
      <c r="CB36" s="169"/>
      <c r="CC36" s="169"/>
      <c r="CD36" s="169"/>
      <c r="CE36" s="169"/>
      <c r="CF36" s="169"/>
      <c r="CG36" s="169"/>
      <c r="CH36" s="169"/>
      <c r="CI36" s="169"/>
      <c r="CJ36" s="169"/>
      <c r="CK36" s="169"/>
      <c r="CL36" s="169"/>
      <c r="CM36" s="169"/>
      <c r="CN36" s="169"/>
      <c r="CO36" s="169"/>
      <c r="CP36" s="169"/>
      <c r="CQ36" s="169"/>
      <c r="CR36" s="169"/>
      <c r="CS36" s="169"/>
      <c r="CT36" s="169"/>
      <c r="CU36" s="169"/>
      <c r="CV36" s="169"/>
      <c r="CW36" s="169"/>
      <c r="CX36" s="169"/>
      <c r="CY36" s="169"/>
      <c r="CZ36" s="169"/>
      <c r="DA36" s="169"/>
      <c r="DB36" s="169"/>
      <c r="DC36" s="169"/>
      <c r="DD36" s="169"/>
      <c r="DE36" s="169"/>
      <c r="DF36" s="169"/>
      <c r="DG36" s="169"/>
      <c r="DH36" s="169"/>
      <c r="DI36" s="169"/>
      <c r="DJ36" s="169"/>
      <c r="DK36" s="169"/>
      <c r="DL36" s="169"/>
      <c r="DM36" s="169"/>
      <c r="DN36" s="169"/>
      <c r="DO36" s="169"/>
      <c r="DP36" s="169"/>
      <c r="DQ36" s="169"/>
      <c r="DR36" s="169"/>
      <c r="DS36" s="169"/>
      <c r="DT36" s="169"/>
      <c r="DU36" s="169"/>
      <c r="DV36" s="169"/>
      <c r="DW36" s="169"/>
      <c r="DX36" s="169"/>
      <c r="DY36" s="169"/>
      <c r="DZ36" s="169"/>
      <c r="EA36" s="169"/>
      <c r="EB36" s="169"/>
      <c r="EC36" s="169"/>
      <c r="ED36" s="169"/>
      <c r="EE36" s="169"/>
      <c r="EF36" s="169"/>
      <c r="EG36" s="169"/>
      <c r="EH36" s="169"/>
      <c r="EI36" s="169"/>
      <c r="EJ36" s="169"/>
      <c r="EK36" s="169"/>
      <c r="EL36" s="169"/>
      <c r="EM36" s="169"/>
      <c r="EN36" s="169"/>
      <c r="EO36" s="169"/>
      <c r="EP36" s="169"/>
      <c r="EQ36" s="169"/>
      <c r="ER36" s="169"/>
      <c r="ES36" s="169"/>
      <c r="ET36" s="169"/>
      <c r="EU36" s="169"/>
      <c r="EV36" s="169"/>
      <c r="EW36" s="169"/>
      <c r="EX36" s="169"/>
      <c r="EY36" s="169"/>
      <c r="EZ36" s="169"/>
      <c r="FA36" s="169"/>
      <c r="FB36" s="169"/>
      <c r="FC36" s="169"/>
      <c r="FD36" s="169"/>
      <c r="FE36" s="169"/>
      <c r="FF36" s="169"/>
      <c r="FG36" s="169"/>
      <c r="FH36" s="169"/>
      <c r="FI36" s="169"/>
      <c r="FJ36" s="169"/>
      <c r="FK36" s="169"/>
      <c r="FL36" s="169"/>
      <c r="FM36" s="169"/>
      <c r="FN36" s="169"/>
      <c r="FO36" s="169"/>
      <c r="FP36" s="169"/>
      <c r="FQ36" s="169"/>
      <c r="FR36" s="169"/>
      <c r="FS36" s="169"/>
      <c r="FT36" s="169"/>
      <c r="FU36" s="169"/>
      <c r="FV36" s="169"/>
      <c r="FW36" s="170"/>
      <c r="FX36" s="62"/>
      <c r="FY36" s="62"/>
      <c r="FZ36" s="62"/>
      <c r="GA36" s="62"/>
      <c r="GB36" s="62"/>
      <c r="GC36" s="62"/>
      <c r="GD36" s="62"/>
      <c r="GE36" s="62"/>
      <c r="GF36" s="61"/>
      <c r="GG36" s="61"/>
      <c r="GH36" s="61"/>
      <c r="GI36" s="61"/>
      <c r="GJ36" s="61"/>
      <c r="GK36" s="61"/>
      <c r="GL36" s="61"/>
      <c r="GM36" s="61"/>
      <c r="GN36" s="61"/>
      <c r="GO36" s="61"/>
      <c r="GP36" s="61"/>
      <c r="GQ36" s="61"/>
      <c r="GR36" s="61"/>
    </row>
    <row r="37" spans="4:202" ht="17.25" customHeight="1" x14ac:dyDescent="0.25">
      <c r="E37" s="167"/>
      <c r="F37" s="167"/>
      <c r="G37" s="167"/>
      <c r="H37" s="167"/>
      <c r="I37" s="167"/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71"/>
      <c r="X37" s="172"/>
      <c r="Y37" s="172"/>
      <c r="Z37" s="172"/>
      <c r="AA37" s="172"/>
      <c r="AB37" s="172"/>
      <c r="AC37" s="172"/>
      <c r="AD37" s="172"/>
      <c r="AE37" s="172"/>
      <c r="AF37" s="172"/>
      <c r="AG37" s="172"/>
      <c r="AH37" s="172"/>
      <c r="AI37" s="172"/>
      <c r="AJ37" s="172"/>
      <c r="AK37" s="172"/>
      <c r="AL37" s="172"/>
      <c r="AM37" s="172"/>
      <c r="AN37" s="172"/>
      <c r="AO37" s="172"/>
      <c r="AP37" s="172"/>
      <c r="AQ37" s="172"/>
      <c r="AR37" s="172"/>
      <c r="AS37" s="172"/>
      <c r="AT37" s="172"/>
      <c r="AU37" s="172"/>
      <c r="AV37" s="172"/>
      <c r="AW37" s="172"/>
      <c r="AX37" s="172"/>
      <c r="AY37" s="172"/>
      <c r="AZ37" s="172"/>
      <c r="BA37" s="172"/>
      <c r="BB37" s="172"/>
      <c r="BC37" s="172"/>
      <c r="BD37" s="172"/>
      <c r="BE37" s="172"/>
      <c r="BF37" s="172"/>
      <c r="BG37" s="172"/>
      <c r="BH37" s="172"/>
      <c r="BI37" s="172"/>
      <c r="BJ37" s="172"/>
      <c r="BK37" s="172"/>
      <c r="BL37" s="172"/>
      <c r="BM37" s="172"/>
      <c r="BN37" s="172"/>
      <c r="BO37" s="172"/>
      <c r="BP37" s="172"/>
      <c r="BQ37" s="172"/>
      <c r="BR37" s="172"/>
      <c r="BS37" s="172"/>
      <c r="BT37" s="172"/>
      <c r="BU37" s="172"/>
      <c r="BV37" s="172"/>
      <c r="BW37" s="172"/>
      <c r="BX37" s="172"/>
      <c r="BY37" s="172"/>
      <c r="BZ37" s="172"/>
      <c r="CA37" s="172"/>
      <c r="CB37" s="172"/>
      <c r="CC37" s="172"/>
      <c r="CD37" s="172"/>
      <c r="CE37" s="172"/>
      <c r="CF37" s="172"/>
      <c r="CG37" s="172"/>
      <c r="CH37" s="172"/>
      <c r="CI37" s="172"/>
      <c r="CJ37" s="172"/>
      <c r="CK37" s="172"/>
      <c r="CL37" s="172"/>
      <c r="CM37" s="172"/>
      <c r="CN37" s="172"/>
      <c r="CO37" s="172"/>
      <c r="CP37" s="172"/>
      <c r="CQ37" s="172"/>
      <c r="CR37" s="172"/>
      <c r="CS37" s="172"/>
      <c r="CT37" s="172"/>
      <c r="CU37" s="172"/>
      <c r="CV37" s="172"/>
      <c r="CW37" s="172"/>
      <c r="CX37" s="172"/>
      <c r="CY37" s="172"/>
      <c r="CZ37" s="172"/>
      <c r="DA37" s="172"/>
      <c r="DB37" s="172"/>
      <c r="DC37" s="172"/>
      <c r="DD37" s="172"/>
      <c r="DE37" s="172"/>
      <c r="DF37" s="172"/>
      <c r="DG37" s="172"/>
      <c r="DH37" s="172"/>
      <c r="DI37" s="172"/>
      <c r="DJ37" s="172"/>
      <c r="DK37" s="172"/>
      <c r="DL37" s="172"/>
      <c r="DM37" s="172"/>
      <c r="DN37" s="172"/>
      <c r="DO37" s="172"/>
      <c r="DP37" s="172"/>
      <c r="DQ37" s="172"/>
      <c r="DR37" s="172"/>
      <c r="DS37" s="172"/>
      <c r="DT37" s="172"/>
      <c r="DU37" s="172"/>
      <c r="DV37" s="172"/>
      <c r="DW37" s="172"/>
      <c r="DX37" s="172"/>
      <c r="DY37" s="172"/>
      <c r="DZ37" s="172"/>
      <c r="EA37" s="172"/>
      <c r="EB37" s="172"/>
      <c r="EC37" s="172"/>
      <c r="ED37" s="172"/>
      <c r="EE37" s="172"/>
      <c r="EF37" s="172"/>
      <c r="EG37" s="172"/>
      <c r="EH37" s="172"/>
      <c r="EI37" s="172"/>
      <c r="EJ37" s="172"/>
      <c r="EK37" s="172"/>
      <c r="EL37" s="172"/>
      <c r="EM37" s="172"/>
      <c r="EN37" s="172"/>
      <c r="EO37" s="172"/>
      <c r="EP37" s="172"/>
      <c r="EQ37" s="172"/>
      <c r="ER37" s="172"/>
      <c r="ES37" s="172"/>
      <c r="ET37" s="172"/>
      <c r="EU37" s="172"/>
      <c r="EV37" s="172"/>
      <c r="EW37" s="172"/>
      <c r="EX37" s="172"/>
      <c r="EY37" s="172"/>
      <c r="EZ37" s="172"/>
      <c r="FA37" s="172"/>
      <c r="FB37" s="172"/>
      <c r="FC37" s="172"/>
      <c r="FD37" s="172"/>
      <c r="FE37" s="172"/>
      <c r="FF37" s="172"/>
      <c r="FG37" s="172"/>
      <c r="FH37" s="172"/>
      <c r="FI37" s="172"/>
      <c r="FJ37" s="172"/>
      <c r="FK37" s="172"/>
      <c r="FL37" s="172"/>
      <c r="FM37" s="172"/>
      <c r="FN37" s="172"/>
      <c r="FO37" s="172"/>
      <c r="FP37" s="172"/>
      <c r="FQ37" s="172"/>
      <c r="FR37" s="172"/>
      <c r="FS37" s="172"/>
      <c r="FT37" s="172"/>
      <c r="FU37" s="172"/>
      <c r="FV37" s="172"/>
      <c r="FW37" s="173"/>
      <c r="FX37" s="62"/>
      <c r="FY37" s="62"/>
      <c r="FZ37" s="62"/>
      <c r="GA37" s="62"/>
      <c r="GB37" s="62"/>
      <c r="GC37" s="62"/>
      <c r="GD37" s="62"/>
      <c r="GE37" s="62"/>
      <c r="GF37" s="61"/>
      <c r="GG37" s="61"/>
      <c r="GH37" s="61"/>
      <c r="GI37" s="61"/>
      <c r="GJ37" s="61"/>
      <c r="GK37" s="61"/>
      <c r="GL37" s="61"/>
      <c r="GM37" s="61"/>
      <c r="GN37" s="61"/>
      <c r="GO37" s="61"/>
      <c r="GP37" s="61"/>
      <c r="GQ37" s="61"/>
      <c r="GR37" s="61"/>
    </row>
    <row r="38" spans="4:202" s="68" customFormat="1" ht="11.25" customHeight="1" x14ac:dyDescent="0.25">
      <c r="E38" s="139" t="s">
        <v>84</v>
      </c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1"/>
      <c r="W38" s="145"/>
      <c r="X38" s="145"/>
      <c r="Y38" s="145"/>
      <c r="Z38" s="145"/>
      <c r="AA38" s="145"/>
      <c r="AB38" s="145"/>
      <c r="AC38" s="145"/>
      <c r="AD38" s="145"/>
      <c r="AE38" s="145"/>
      <c r="AF38" s="145"/>
      <c r="AG38" s="145"/>
      <c r="AH38" s="145"/>
      <c r="AI38" s="145"/>
      <c r="AJ38" s="145"/>
      <c r="AK38" s="145"/>
      <c r="AL38" s="145"/>
      <c r="AM38" s="145"/>
      <c r="AN38" s="145"/>
      <c r="AO38" s="145"/>
      <c r="AP38" s="145"/>
      <c r="AQ38" s="145"/>
      <c r="AR38" s="145"/>
      <c r="AS38" s="145"/>
      <c r="AT38" s="145"/>
      <c r="AU38" s="145"/>
      <c r="AV38" s="145"/>
      <c r="AW38" s="145"/>
      <c r="AX38" s="145"/>
      <c r="AY38" s="145"/>
      <c r="AZ38" s="145"/>
      <c r="BA38" s="145"/>
      <c r="BB38" s="145"/>
      <c r="BC38" s="145"/>
      <c r="BD38" s="145"/>
      <c r="BE38" s="145"/>
      <c r="BF38" s="145"/>
      <c r="BG38" s="145"/>
      <c r="BH38" s="145"/>
      <c r="BI38" s="145"/>
      <c r="BJ38" s="145"/>
      <c r="BK38" s="145"/>
      <c r="BL38" s="145"/>
      <c r="BM38" s="145"/>
      <c r="BN38" s="145"/>
      <c r="BO38" s="145"/>
      <c r="BP38" s="145"/>
      <c r="BQ38" s="145"/>
      <c r="BR38" s="145"/>
      <c r="BS38" s="145"/>
      <c r="BT38" s="145"/>
      <c r="BU38" s="145"/>
      <c r="BV38" s="145"/>
      <c r="BW38" s="145"/>
      <c r="BX38" s="145"/>
      <c r="BY38" s="145"/>
      <c r="BZ38" s="145"/>
      <c r="CA38" s="145"/>
      <c r="CB38" s="145"/>
      <c r="CC38" s="145"/>
      <c r="CD38" s="145"/>
      <c r="CE38" s="145"/>
      <c r="CF38" s="145"/>
      <c r="CG38" s="145"/>
      <c r="CH38" s="145"/>
      <c r="CI38" s="145"/>
      <c r="CJ38" s="145"/>
      <c r="CK38" s="145"/>
      <c r="CL38" s="145"/>
      <c r="CM38" s="145"/>
      <c r="CN38" s="145"/>
      <c r="CO38" s="145"/>
      <c r="CP38" s="145"/>
      <c r="CQ38" s="145"/>
      <c r="CR38" s="145"/>
      <c r="CS38" s="145"/>
      <c r="CT38" s="145"/>
      <c r="CU38" s="145"/>
      <c r="CV38" s="145"/>
      <c r="CW38" s="145"/>
      <c r="CX38" s="145"/>
      <c r="CY38" s="145"/>
      <c r="CZ38" s="145"/>
      <c r="DA38" s="145"/>
      <c r="DB38" s="145"/>
      <c r="DC38" s="145"/>
      <c r="DD38" s="145"/>
      <c r="DE38" s="145"/>
      <c r="DF38" s="145"/>
      <c r="DG38" s="145"/>
      <c r="DH38" s="145"/>
      <c r="DI38" s="145"/>
      <c r="DJ38" s="145"/>
      <c r="DK38" s="145"/>
      <c r="DL38" s="145"/>
      <c r="DM38" s="145"/>
      <c r="DN38" s="145"/>
      <c r="DO38" s="145"/>
      <c r="DP38" s="145"/>
      <c r="DQ38" s="145"/>
      <c r="DR38" s="145"/>
      <c r="DS38" s="145"/>
      <c r="DT38" s="145"/>
      <c r="DU38" s="145"/>
      <c r="DV38" s="145"/>
      <c r="DW38" s="145"/>
      <c r="DX38" s="145"/>
      <c r="DY38" s="145"/>
      <c r="DZ38" s="145"/>
      <c r="EA38" s="145"/>
      <c r="EB38" s="145"/>
      <c r="EC38" s="145"/>
      <c r="ED38" s="145"/>
      <c r="EE38" s="145"/>
      <c r="EF38" s="145"/>
      <c r="EG38" s="145"/>
      <c r="EH38" s="145"/>
      <c r="EI38" s="145"/>
      <c r="EJ38" s="162" t="s">
        <v>51</v>
      </c>
      <c r="EK38" s="162"/>
      <c r="EL38" s="162"/>
      <c r="EM38" s="162"/>
      <c r="EN38" s="162"/>
      <c r="EO38" s="162"/>
      <c r="EP38" s="162"/>
      <c r="EQ38" s="162"/>
      <c r="ER38" s="162"/>
      <c r="ES38" s="162"/>
      <c r="ET38" s="162"/>
      <c r="EU38" s="162"/>
      <c r="EV38" s="162"/>
      <c r="EW38" s="162"/>
      <c r="EX38" s="162"/>
      <c r="EY38" s="162"/>
      <c r="EZ38" s="162"/>
      <c r="FA38" s="162" t="s">
        <v>52</v>
      </c>
      <c r="FB38" s="162"/>
      <c r="FC38" s="162"/>
      <c r="FD38" s="162"/>
      <c r="FE38" s="162"/>
      <c r="FF38" s="162"/>
      <c r="FG38" s="162"/>
      <c r="FH38" s="162"/>
      <c r="FI38" s="162"/>
      <c r="FJ38" s="162"/>
      <c r="FK38" s="162"/>
      <c r="FL38" s="163" t="s">
        <v>53</v>
      </c>
      <c r="FM38" s="164"/>
      <c r="FN38" s="164"/>
      <c r="FO38" s="164"/>
      <c r="FP38" s="164"/>
      <c r="FQ38" s="164"/>
      <c r="FR38" s="164"/>
      <c r="FS38" s="164"/>
      <c r="FT38" s="164"/>
      <c r="FU38" s="164"/>
      <c r="FV38" s="164"/>
      <c r="FW38" s="165"/>
      <c r="FX38" s="67"/>
      <c r="FY38" s="67"/>
      <c r="FZ38" s="67"/>
      <c r="GA38" s="67"/>
      <c r="GB38" s="67"/>
      <c r="GC38" s="67"/>
      <c r="GD38" s="67"/>
      <c r="GE38" s="67"/>
      <c r="GF38" s="67"/>
      <c r="GG38" s="67"/>
      <c r="GH38" s="67"/>
      <c r="GI38" s="67"/>
      <c r="GJ38" s="67"/>
      <c r="GK38" s="67"/>
      <c r="GL38" s="67"/>
      <c r="GM38" s="67"/>
      <c r="GN38" s="67"/>
      <c r="GO38" s="67"/>
      <c r="GP38" s="67"/>
      <c r="GQ38" s="67"/>
      <c r="GR38" s="67"/>
    </row>
    <row r="39" spans="4:202" ht="9.75" customHeight="1" x14ac:dyDescent="0.25">
      <c r="E39" s="142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4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K39" s="146"/>
      <c r="AL39" s="146"/>
      <c r="AM39" s="146"/>
      <c r="AN39" s="146"/>
      <c r="AO39" s="146"/>
      <c r="AP39" s="146"/>
      <c r="AQ39" s="146"/>
      <c r="AR39" s="146"/>
      <c r="AS39" s="146"/>
      <c r="AT39" s="146"/>
      <c r="AU39" s="146"/>
      <c r="AV39" s="146"/>
      <c r="AW39" s="146"/>
      <c r="AX39" s="146"/>
      <c r="AY39" s="146"/>
      <c r="AZ39" s="146"/>
      <c r="BA39" s="146"/>
      <c r="BB39" s="146"/>
      <c r="BC39" s="146"/>
      <c r="BD39" s="146"/>
      <c r="BE39" s="146"/>
      <c r="BF39" s="146"/>
      <c r="BG39" s="146"/>
      <c r="BH39" s="146"/>
      <c r="BI39" s="146"/>
      <c r="BJ39" s="146"/>
      <c r="BK39" s="146"/>
      <c r="BL39" s="146"/>
      <c r="BM39" s="146"/>
      <c r="BN39" s="146"/>
      <c r="BO39" s="146"/>
      <c r="BP39" s="146"/>
      <c r="BQ39" s="146"/>
      <c r="BR39" s="146"/>
      <c r="BS39" s="146"/>
      <c r="BT39" s="146"/>
      <c r="BU39" s="146"/>
      <c r="BV39" s="146"/>
      <c r="BW39" s="146"/>
      <c r="BX39" s="146"/>
      <c r="BY39" s="146"/>
      <c r="BZ39" s="146"/>
      <c r="CA39" s="146"/>
      <c r="CB39" s="146"/>
      <c r="CC39" s="146"/>
      <c r="CD39" s="146"/>
      <c r="CE39" s="146"/>
      <c r="CF39" s="146"/>
      <c r="CG39" s="146"/>
      <c r="CH39" s="146"/>
      <c r="CI39" s="146"/>
      <c r="CJ39" s="146"/>
      <c r="CK39" s="146"/>
      <c r="CL39" s="146"/>
      <c r="CM39" s="146"/>
      <c r="CN39" s="146"/>
      <c r="CO39" s="146"/>
      <c r="CP39" s="146"/>
      <c r="CQ39" s="146"/>
      <c r="CR39" s="146"/>
      <c r="CS39" s="146"/>
      <c r="CT39" s="146"/>
      <c r="CU39" s="146"/>
      <c r="CV39" s="146"/>
      <c r="CW39" s="146"/>
      <c r="CX39" s="146"/>
      <c r="CY39" s="146"/>
      <c r="CZ39" s="146"/>
      <c r="DA39" s="146"/>
      <c r="DB39" s="146"/>
      <c r="DC39" s="146"/>
      <c r="DD39" s="146"/>
      <c r="DE39" s="146"/>
      <c r="DF39" s="146"/>
      <c r="DG39" s="146"/>
      <c r="DH39" s="146"/>
      <c r="DI39" s="146"/>
      <c r="DJ39" s="146"/>
      <c r="DK39" s="146"/>
      <c r="DL39" s="146"/>
      <c r="DM39" s="146"/>
      <c r="DN39" s="146"/>
      <c r="DO39" s="146"/>
      <c r="DP39" s="146"/>
      <c r="DQ39" s="146"/>
      <c r="DR39" s="146"/>
      <c r="DS39" s="146"/>
      <c r="DT39" s="146"/>
      <c r="DU39" s="146"/>
      <c r="DV39" s="146"/>
      <c r="DW39" s="146"/>
      <c r="DX39" s="146"/>
      <c r="DY39" s="146"/>
      <c r="DZ39" s="146"/>
      <c r="EA39" s="146"/>
      <c r="EB39" s="146"/>
      <c r="EC39" s="146"/>
      <c r="ED39" s="146"/>
      <c r="EE39" s="146"/>
      <c r="EF39" s="146"/>
      <c r="EG39" s="146"/>
      <c r="EH39" s="146"/>
      <c r="EI39" s="146"/>
      <c r="EJ39" s="146"/>
      <c r="EK39" s="146"/>
      <c r="EL39" s="146"/>
      <c r="EM39" s="146"/>
      <c r="EN39" s="146"/>
      <c r="EO39" s="146"/>
      <c r="EP39" s="146"/>
      <c r="EQ39" s="146"/>
      <c r="ER39" s="146"/>
      <c r="ES39" s="146"/>
      <c r="ET39" s="146"/>
      <c r="EU39" s="146"/>
      <c r="EV39" s="146"/>
      <c r="EW39" s="146"/>
      <c r="EX39" s="146"/>
      <c r="EY39" s="146"/>
      <c r="EZ39" s="146"/>
      <c r="FA39" s="146"/>
      <c r="FB39" s="146"/>
      <c r="FC39" s="146"/>
      <c r="FD39" s="146"/>
      <c r="FE39" s="146"/>
      <c r="FF39" s="146"/>
      <c r="FG39" s="146"/>
      <c r="FH39" s="146"/>
      <c r="FI39" s="146"/>
      <c r="FJ39" s="146"/>
      <c r="FK39" s="146"/>
      <c r="FL39" s="147"/>
      <c r="FM39" s="148"/>
      <c r="FN39" s="148"/>
      <c r="FO39" s="148"/>
      <c r="FP39" s="148"/>
      <c r="FQ39" s="148"/>
      <c r="FR39" s="148"/>
      <c r="FS39" s="148"/>
      <c r="FT39" s="148"/>
      <c r="FU39" s="148"/>
      <c r="FV39" s="148"/>
      <c r="FW39" s="149"/>
      <c r="FX39" s="61"/>
      <c r="FY39" s="61"/>
      <c r="FZ39" s="61"/>
      <c r="GA39" s="61"/>
      <c r="GB39" s="61"/>
      <c r="GC39" s="61"/>
      <c r="GD39" s="61"/>
      <c r="GE39" s="61"/>
      <c r="GF39" s="61"/>
      <c r="GG39" s="61"/>
      <c r="GH39" s="61"/>
      <c r="GI39" s="61"/>
      <c r="GJ39" s="61"/>
      <c r="GK39" s="61"/>
      <c r="GL39" s="61"/>
      <c r="GM39" s="61"/>
      <c r="GN39" s="61"/>
      <c r="GO39" s="61"/>
      <c r="GP39" s="61"/>
      <c r="GQ39" s="61"/>
      <c r="GR39" s="61"/>
    </row>
    <row r="40" spans="4:202" ht="3" customHeight="1" x14ac:dyDescent="0.25"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1"/>
      <c r="AS40" s="61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1"/>
      <c r="CB40" s="61"/>
      <c r="CC40" s="61"/>
      <c r="CD40" s="61"/>
      <c r="CE40" s="61"/>
      <c r="CF40" s="61"/>
      <c r="CG40" s="61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  <c r="EA40" s="61"/>
      <c r="EB40" s="61"/>
      <c r="EC40" s="61"/>
      <c r="ED40" s="61"/>
      <c r="EE40" s="61"/>
      <c r="EF40" s="61"/>
      <c r="EG40" s="61"/>
      <c r="EH40" s="61"/>
      <c r="EI40" s="61"/>
      <c r="EJ40" s="61"/>
      <c r="EK40" s="61"/>
      <c r="EL40" s="61"/>
      <c r="EM40" s="61"/>
      <c r="EN40" s="61"/>
      <c r="EO40" s="61"/>
      <c r="EP40" s="61"/>
      <c r="EQ40" s="61"/>
      <c r="ER40" s="61"/>
      <c r="ES40" s="61"/>
      <c r="ET40" s="61"/>
      <c r="EU40" s="61"/>
      <c r="EV40" s="61"/>
      <c r="EW40" s="61"/>
      <c r="EX40" s="61"/>
      <c r="EY40" s="61"/>
      <c r="EZ40" s="61"/>
      <c r="FA40" s="61"/>
      <c r="FB40" s="61"/>
      <c r="FC40" s="61"/>
      <c r="FD40" s="61"/>
      <c r="FE40" s="61"/>
      <c r="FF40" s="61"/>
      <c r="FG40" s="61"/>
      <c r="FH40" s="61"/>
      <c r="FI40" s="61"/>
      <c r="FJ40" s="61"/>
      <c r="FK40" s="61"/>
      <c r="FL40" s="61"/>
      <c r="FM40" s="61"/>
      <c r="FN40" s="61"/>
      <c r="FO40" s="61"/>
      <c r="FP40" s="61"/>
      <c r="FQ40" s="61"/>
      <c r="FR40" s="61"/>
      <c r="FS40" s="61"/>
      <c r="FT40" s="61"/>
      <c r="FU40" s="61"/>
      <c r="FV40" s="61"/>
      <c r="FW40" s="61"/>
      <c r="FX40" s="61"/>
      <c r="FY40" s="61"/>
      <c r="FZ40" s="61"/>
      <c r="GA40" s="61"/>
      <c r="GB40" s="61"/>
      <c r="GC40" s="61"/>
      <c r="GD40" s="61"/>
      <c r="GE40" s="61"/>
      <c r="GF40" s="61"/>
      <c r="GG40" s="61"/>
      <c r="GH40" s="61"/>
      <c r="GI40" s="61"/>
      <c r="GJ40" s="61"/>
      <c r="GK40" s="61"/>
      <c r="GL40" s="61"/>
      <c r="GM40" s="61"/>
      <c r="GN40" s="61"/>
      <c r="GO40" s="61"/>
      <c r="GP40" s="61"/>
      <c r="GQ40" s="61"/>
      <c r="GR40" s="61"/>
    </row>
    <row r="41" spans="4:202" x14ac:dyDescent="0.25">
      <c r="E41" s="150" t="s">
        <v>54</v>
      </c>
      <c r="F41" s="151"/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R41" s="151"/>
      <c r="S41" s="151"/>
      <c r="T41" s="151"/>
      <c r="U41" s="151"/>
      <c r="V41" s="151"/>
      <c r="W41" s="151"/>
      <c r="X41" s="151"/>
      <c r="Y41" s="151"/>
      <c r="Z41" s="151"/>
      <c r="AA41" s="151"/>
      <c r="AB41" s="151"/>
      <c r="AC41" s="151"/>
      <c r="AD41" s="152"/>
      <c r="AE41" s="106" t="s">
        <v>50</v>
      </c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V41" s="107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8"/>
      <c r="BM41" s="159" t="s">
        <v>57</v>
      </c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1"/>
      <c r="CJ41" s="106" t="s">
        <v>58</v>
      </c>
      <c r="CK41" s="107"/>
      <c r="CL41" s="107"/>
      <c r="CM41" s="107"/>
      <c r="CN41" s="107"/>
      <c r="CO41" s="107"/>
      <c r="CP41" s="107"/>
      <c r="CQ41" s="107"/>
      <c r="CR41" s="107"/>
      <c r="CS41" s="107"/>
      <c r="CT41" s="107"/>
      <c r="CU41" s="107"/>
      <c r="CV41" s="107"/>
      <c r="CW41" s="107"/>
      <c r="CX41" s="107"/>
      <c r="CY41" s="107"/>
      <c r="CZ41" s="107"/>
      <c r="DA41" s="107"/>
      <c r="DB41" s="107"/>
      <c r="DC41" s="107"/>
      <c r="DD41" s="107"/>
      <c r="DE41" s="107"/>
      <c r="DF41" s="107"/>
      <c r="DG41" s="107"/>
      <c r="DH41" s="107"/>
      <c r="DI41" s="107"/>
      <c r="DJ41" s="107"/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U41" s="107"/>
      <c r="DV41" s="107"/>
      <c r="DW41" s="107"/>
      <c r="DX41" s="107"/>
      <c r="DY41" s="107"/>
      <c r="DZ41" s="107"/>
      <c r="EA41" s="107"/>
      <c r="EB41" s="107"/>
      <c r="EC41" s="107"/>
      <c r="ED41" s="107"/>
      <c r="EE41" s="107"/>
      <c r="EF41" s="107"/>
      <c r="EG41" s="107"/>
      <c r="EH41" s="107"/>
      <c r="EI41" s="107"/>
      <c r="EJ41" s="107"/>
      <c r="EK41" s="107"/>
      <c r="EL41" s="107"/>
      <c r="EM41" s="107"/>
      <c r="EN41" s="107"/>
      <c r="EO41" s="107"/>
      <c r="EP41" s="107"/>
      <c r="EQ41" s="107"/>
      <c r="ER41" s="107"/>
      <c r="ES41" s="107"/>
      <c r="ET41" s="107"/>
      <c r="EU41" s="107"/>
      <c r="EV41" s="107"/>
      <c r="EW41" s="107"/>
      <c r="EX41" s="107"/>
      <c r="EY41" s="107"/>
      <c r="EZ41" s="107"/>
      <c r="FA41" s="107"/>
      <c r="FB41" s="107"/>
      <c r="FC41" s="107"/>
      <c r="FD41" s="107"/>
      <c r="FE41" s="107"/>
      <c r="FF41" s="107"/>
      <c r="FG41" s="107"/>
      <c r="FH41" s="107"/>
      <c r="FI41" s="107"/>
      <c r="FJ41" s="107"/>
      <c r="FK41" s="107"/>
      <c r="FL41" s="107"/>
      <c r="FM41" s="107"/>
      <c r="FN41" s="107"/>
      <c r="FO41" s="107"/>
      <c r="FP41" s="107"/>
      <c r="FQ41" s="107"/>
      <c r="FR41" s="107"/>
      <c r="FS41" s="107"/>
      <c r="FT41" s="107"/>
      <c r="FU41" s="107"/>
      <c r="FV41" s="107"/>
      <c r="FW41" s="108"/>
      <c r="FX41" s="61"/>
      <c r="FY41" s="61"/>
      <c r="FZ41" s="61"/>
      <c r="GA41" s="61"/>
      <c r="GB41" s="61"/>
      <c r="GC41" s="61"/>
      <c r="GD41" s="61"/>
      <c r="GE41" s="61"/>
      <c r="GF41" s="61"/>
      <c r="GG41" s="61"/>
      <c r="GH41" s="61"/>
      <c r="GI41" s="61"/>
      <c r="GJ41" s="61"/>
      <c r="GK41" s="61"/>
      <c r="GL41" s="61"/>
      <c r="GM41" s="61"/>
      <c r="GN41" s="61"/>
      <c r="GO41" s="61"/>
      <c r="GP41" s="61"/>
      <c r="GQ41" s="61"/>
      <c r="GR41" s="61"/>
    </row>
    <row r="42" spans="4:202" ht="10.5" customHeight="1" x14ac:dyDescent="0.25">
      <c r="E42" s="124">
        <f>IFERROR(VLOOKUP(AE42,REQUISIÇÕES!$A:$J,2,0),"")</f>
        <v>42599</v>
      </c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6"/>
      <c r="AE42" s="100">
        <v>43</v>
      </c>
      <c r="AF42" s="101"/>
      <c r="AG42" s="101"/>
      <c r="AH42" s="101"/>
      <c r="AI42" s="101"/>
      <c r="AJ42" s="101"/>
      <c r="AK42" s="101"/>
      <c r="AL42" s="101"/>
      <c r="AM42" s="101"/>
      <c r="AN42" s="101"/>
      <c r="AO42" s="101"/>
      <c r="AP42" s="101"/>
      <c r="AQ42" s="101"/>
      <c r="AR42" s="101"/>
      <c r="AS42" s="101"/>
      <c r="AT42" s="101"/>
      <c r="AU42" s="101"/>
      <c r="AV42" s="101"/>
      <c r="AW42" s="101"/>
      <c r="AX42" s="101"/>
      <c r="AY42" s="101"/>
      <c r="AZ42" s="101"/>
      <c r="BA42" s="101"/>
      <c r="BB42" s="101"/>
      <c r="BC42" s="101"/>
      <c r="BD42" s="101"/>
      <c r="BE42" s="101"/>
      <c r="BF42" s="101"/>
      <c r="BG42" s="101"/>
      <c r="BH42" s="101"/>
      <c r="BI42" s="101"/>
      <c r="BJ42" s="101"/>
      <c r="BK42" s="101"/>
      <c r="BL42" s="102"/>
      <c r="BM42" s="94">
        <f>IFERROR(VLOOKUP(AE42,REQUISIÇÕES!$A:$J,6,0),"")</f>
        <v>54213</v>
      </c>
      <c r="BN42" s="95"/>
      <c r="BO42" s="95"/>
      <c r="BP42" s="95"/>
      <c r="BQ42" s="95"/>
      <c r="BR42" s="95"/>
      <c r="BS42" s="95"/>
      <c r="BT42" s="95"/>
      <c r="BU42" s="95"/>
      <c r="BV42" s="95"/>
      <c r="BW42" s="95"/>
      <c r="BX42" s="95"/>
      <c r="BY42" s="95"/>
      <c r="BZ42" s="95"/>
      <c r="CA42" s="95"/>
      <c r="CB42" s="95"/>
      <c r="CC42" s="95"/>
      <c r="CD42" s="95"/>
      <c r="CE42" s="95"/>
      <c r="CF42" s="95"/>
      <c r="CG42" s="95"/>
      <c r="CH42" s="95"/>
      <c r="CI42" s="96"/>
      <c r="CJ42" s="100" t="str">
        <f>IFERROR(VLOOKUP(AE42,REQUISIÇÕES!$A:$J,7,0),"")</f>
        <v>OLEO LUBR SAE 10W30 MULT G NH410B</v>
      </c>
      <c r="CK42" s="101"/>
      <c r="CL42" s="101"/>
      <c r="CM42" s="101"/>
      <c r="CN42" s="101"/>
      <c r="CO42" s="101"/>
      <c r="CP42" s="101"/>
      <c r="CQ42" s="101"/>
      <c r="CR42" s="101"/>
      <c r="CS42" s="101"/>
      <c r="CT42" s="101"/>
      <c r="CU42" s="101"/>
      <c r="CV42" s="101"/>
      <c r="CW42" s="101"/>
      <c r="CX42" s="101"/>
      <c r="CY42" s="101"/>
      <c r="CZ42" s="101"/>
      <c r="DA42" s="101"/>
      <c r="DB42" s="101"/>
      <c r="DC42" s="101"/>
      <c r="DD42" s="101"/>
      <c r="DE42" s="101"/>
      <c r="DF42" s="101"/>
      <c r="DG42" s="101"/>
      <c r="DH42" s="101"/>
      <c r="DI42" s="101"/>
      <c r="DJ42" s="101"/>
      <c r="DK42" s="101"/>
      <c r="DL42" s="101"/>
      <c r="DM42" s="101"/>
      <c r="DN42" s="101"/>
      <c r="DO42" s="101"/>
      <c r="DP42" s="101"/>
      <c r="DQ42" s="101"/>
      <c r="DR42" s="101"/>
      <c r="DS42" s="101"/>
      <c r="DT42" s="101"/>
      <c r="DU42" s="101"/>
      <c r="DV42" s="101"/>
      <c r="DW42" s="101"/>
      <c r="DX42" s="101"/>
      <c r="DY42" s="101"/>
      <c r="DZ42" s="101"/>
      <c r="EA42" s="101"/>
      <c r="EB42" s="101"/>
      <c r="EC42" s="101"/>
      <c r="ED42" s="101"/>
      <c r="EE42" s="101"/>
      <c r="EF42" s="101"/>
      <c r="EG42" s="101"/>
      <c r="EH42" s="101"/>
      <c r="EI42" s="101"/>
      <c r="EJ42" s="101"/>
      <c r="EK42" s="101"/>
      <c r="EL42" s="101"/>
      <c r="EM42" s="101"/>
      <c r="EN42" s="101"/>
      <c r="EO42" s="101"/>
      <c r="EP42" s="101"/>
      <c r="EQ42" s="101"/>
      <c r="ER42" s="101"/>
      <c r="ES42" s="101"/>
      <c r="ET42" s="101"/>
      <c r="EU42" s="101"/>
      <c r="EV42" s="101"/>
      <c r="EW42" s="101"/>
      <c r="EX42" s="101"/>
      <c r="EY42" s="101"/>
      <c r="EZ42" s="101"/>
      <c r="FA42" s="101"/>
      <c r="FB42" s="101"/>
      <c r="FC42" s="101"/>
      <c r="FD42" s="101"/>
      <c r="FE42" s="101"/>
      <c r="FF42" s="101"/>
      <c r="FG42" s="101"/>
      <c r="FH42" s="101"/>
      <c r="FI42" s="101"/>
      <c r="FJ42" s="101"/>
      <c r="FK42" s="101"/>
      <c r="FL42" s="101"/>
      <c r="FM42" s="101"/>
      <c r="FN42" s="101"/>
      <c r="FO42" s="101"/>
      <c r="FP42" s="101"/>
      <c r="FQ42" s="101"/>
      <c r="FR42" s="101"/>
      <c r="FS42" s="101"/>
      <c r="FT42" s="101"/>
      <c r="FU42" s="101"/>
      <c r="FV42" s="101"/>
      <c r="FW42" s="102"/>
      <c r="FX42" s="61"/>
      <c r="FY42" s="61"/>
      <c r="FZ42" s="61"/>
      <c r="GA42" s="61"/>
      <c r="GB42" s="61"/>
      <c r="GC42" s="61"/>
      <c r="GD42" s="61"/>
      <c r="GE42" s="61"/>
      <c r="GF42" s="61"/>
      <c r="GG42" s="61"/>
      <c r="GH42" s="61"/>
      <c r="GI42" s="61"/>
      <c r="GJ42" s="61"/>
      <c r="GK42" s="61"/>
      <c r="GL42" s="61"/>
      <c r="GM42" s="61"/>
      <c r="GN42" s="61"/>
      <c r="GO42" s="61"/>
      <c r="GP42" s="61"/>
      <c r="GQ42" s="61"/>
      <c r="GR42" s="61"/>
    </row>
    <row r="43" spans="4:202" ht="10.5" customHeight="1" x14ac:dyDescent="0.25">
      <c r="E43" s="127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  <c r="Q43" s="128"/>
      <c r="R43" s="128"/>
      <c r="S43" s="128"/>
      <c r="T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9"/>
      <c r="AE43" s="103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 s="104"/>
      <c r="BG43" s="104"/>
      <c r="BH43" s="104"/>
      <c r="BI43" s="104"/>
      <c r="BJ43" s="104"/>
      <c r="BK43" s="104"/>
      <c r="BL43" s="105"/>
      <c r="BM43" s="97"/>
      <c r="BN43" s="98"/>
      <c r="BO43" s="98"/>
      <c r="BP43" s="98"/>
      <c r="BQ43" s="98"/>
      <c r="BR43" s="98"/>
      <c r="BS43" s="98"/>
      <c r="BT43" s="98"/>
      <c r="BU43" s="98"/>
      <c r="BV43" s="98"/>
      <c r="BW43" s="98"/>
      <c r="BX43" s="98"/>
      <c r="BY43" s="98"/>
      <c r="BZ43" s="98"/>
      <c r="CA43" s="98"/>
      <c r="CB43" s="98"/>
      <c r="CC43" s="98"/>
      <c r="CD43" s="98"/>
      <c r="CE43" s="98"/>
      <c r="CF43" s="98"/>
      <c r="CG43" s="98"/>
      <c r="CH43" s="98"/>
      <c r="CI43" s="99"/>
      <c r="CJ43" s="103"/>
      <c r="CK43" s="104"/>
      <c r="CL43" s="104"/>
      <c r="CM43" s="104"/>
      <c r="CN43" s="104"/>
      <c r="CO43" s="104"/>
      <c r="CP43" s="104"/>
      <c r="CQ43" s="104"/>
      <c r="CR43" s="104"/>
      <c r="CS43" s="104"/>
      <c r="CT43" s="104"/>
      <c r="CU43" s="104"/>
      <c r="CV43" s="104"/>
      <c r="CW43" s="104"/>
      <c r="CX43" s="104"/>
      <c r="CY43" s="104"/>
      <c r="CZ43" s="104"/>
      <c r="DA43" s="104"/>
      <c r="DB43" s="104"/>
      <c r="DC43" s="104"/>
      <c r="DD43" s="104"/>
      <c r="DE43" s="104"/>
      <c r="DF43" s="104"/>
      <c r="DG43" s="104"/>
      <c r="DH43" s="104"/>
      <c r="DI43" s="104"/>
      <c r="DJ43" s="104"/>
      <c r="DK43" s="104"/>
      <c r="DL43" s="104"/>
      <c r="DM43" s="104"/>
      <c r="DN43" s="104"/>
      <c r="DO43" s="104"/>
      <c r="DP43" s="104"/>
      <c r="DQ43" s="104"/>
      <c r="DR43" s="104"/>
      <c r="DS43" s="104"/>
      <c r="DT43" s="104"/>
      <c r="DU43" s="104"/>
      <c r="DV43" s="104"/>
      <c r="DW43" s="104"/>
      <c r="DX43" s="104"/>
      <c r="DY43" s="104"/>
      <c r="DZ43" s="104"/>
      <c r="EA43" s="104"/>
      <c r="EB43" s="104"/>
      <c r="EC43" s="104"/>
      <c r="ED43" s="104"/>
      <c r="EE43" s="104"/>
      <c r="EF43" s="104"/>
      <c r="EG43" s="104"/>
      <c r="EH43" s="104"/>
      <c r="EI43" s="104"/>
      <c r="EJ43" s="104"/>
      <c r="EK43" s="104"/>
      <c r="EL43" s="104"/>
      <c r="EM43" s="104"/>
      <c r="EN43" s="104"/>
      <c r="EO43" s="104"/>
      <c r="EP43" s="104"/>
      <c r="EQ43" s="104"/>
      <c r="ER43" s="104"/>
      <c r="ES43" s="104"/>
      <c r="ET43" s="104"/>
      <c r="EU43" s="104"/>
      <c r="EV43" s="104"/>
      <c r="EW43" s="104"/>
      <c r="EX43" s="104"/>
      <c r="EY43" s="104"/>
      <c r="EZ43" s="104"/>
      <c r="FA43" s="104"/>
      <c r="FB43" s="104"/>
      <c r="FC43" s="104"/>
      <c r="FD43" s="104"/>
      <c r="FE43" s="104"/>
      <c r="FF43" s="104"/>
      <c r="FG43" s="104"/>
      <c r="FH43" s="104"/>
      <c r="FI43" s="104"/>
      <c r="FJ43" s="104"/>
      <c r="FK43" s="104"/>
      <c r="FL43" s="104"/>
      <c r="FM43" s="104"/>
      <c r="FN43" s="104"/>
      <c r="FO43" s="104"/>
      <c r="FP43" s="104"/>
      <c r="FQ43" s="104"/>
      <c r="FR43" s="104"/>
      <c r="FS43" s="104"/>
      <c r="FT43" s="104"/>
      <c r="FU43" s="104"/>
      <c r="FV43" s="104"/>
      <c r="FW43" s="105"/>
      <c r="FX43" s="61"/>
      <c r="FY43" s="61"/>
      <c r="FZ43" s="61"/>
      <c r="GA43" s="61"/>
      <c r="GB43" s="61"/>
      <c r="GC43" s="61"/>
      <c r="GD43" s="61"/>
      <c r="GE43" s="61"/>
      <c r="GF43" s="61"/>
      <c r="GG43" s="61"/>
      <c r="GH43" s="61"/>
      <c r="GI43" s="61"/>
      <c r="GJ43" s="61"/>
      <c r="GK43" s="61"/>
      <c r="GL43" s="61"/>
      <c r="GM43" s="61"/>
      <c r="GN43" s="61"/>
      <c r="GO43" s="61"/>
      <c r="GP43" s="61"/>
      <c r="GQ43" s="61"/>
      <c r="GR43" s="61"/>
    </row>
    <row r="44" spans="4:202" x14ac:dyDescent="0.25">
      <c r="E44" s="106" t="s">
        <v>59</v>
      </c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8"/>
      <c r="AE44" s="109" t="s">
        <v>62</v>
      </c>
      <c r="AF44" s="110"/>
      <c r="AG44" s="110"/>
      <c r="AH44" s="110"/>
      <c r="AI44" s="110"/>
      <c r="AJ44" s="110"/>
      <c r="AK44" s="110"/>
      <c r="AL44" s="110"/>
      <c r="AM44" s="110"/>
      <c r="AN44" s="110"/>
      <c r="AO44" s="110"/>
      <c r="AP44" s="110"/>
      <c r="AQ44" s="110"/>
      <c r="AR44" s="110"/>
      <c r="AS44" s="110"/>
      <c r="AT44" s="110"/>
      <c r="AU44" s="110"/>
      <c r="AV44" s="110"/>
      <c r="AW44" s="110"/>
      <c r="AX44" s="110"/>
      <c r="AY44" s="110"/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1"/>
      <c r="BM44" s="109" t="s">
        <v>61</v>
      </c>
      <c r="BN44" s="110"/>
      <c r="BO44" s="110"/>
      <c r="BP44" s="110"/>
      <c r="BQ44" s="110"/>
      <c r="BR44" s="110"/>
      <c r="BS44" s="110"/>
      <c r="BT44" s="110"/>
      <c r="BU44" s="110"/>
      <c r="BV44" s="110"/>
      <c r="BW44" s="110"/>
      <c r="BX44" s="110"/>
      <c r="BY44" s="110"/>
      <c r="BZ44" s="110"/>
      <c r="CA44" s="110"/>
      <c r="CB44" s="110"/>
      <c r="CC44" s="110"/>
      <c r="CD44" s="110"/>
      <c r="CE44" s="110"/>
      <c r="CF44" s="110"/>
      <c r="CG44" s="110"/>
      <c r="CH44" s="110"/>
      <c r="CI44" s="110"/>
      <c r="CJ44" s="110"/>
      <c r="CK44" s="110"/>
      <c r="CL44" s="110"/>
      <c r="CM44" s="110"/>
      <c r="CN44" s="110"/>
      <c r="CO44" s="110"/>
      <c r="CP44" s="110"/>
      <c r="CQ44" s="110"/>
      <c r="CR44" s="110"/>
      <c r="CS44" s="110"/>
      <c r="CT44" s="110"/>
      <c r="CU44" s="110"/>
      <c r="CV44" s="110"/>
      <c r="CW44" s="110"/>
      <c r="CX44" s="110"/>
      <c r="CY44" s="110"/>
      <c r="CZ44" s="110"/>
      <c r="DA44" s="110"/>
      <c r="DB44" s="110"/>
      <c r="DC44" s="110"/>
      <c r="DD44" s="111"/>
      <c r="DE44" s="112" t="s">
        <v>60</v>
      </c>
      <c r="DF44" s="113"/>
      <c r="DG44" s="113"/>
      <c r="DH44" s="113"/>
      <c r="DI44" s="113"/>
      <c r="DJ44" s="113"/>
      <c r="DK44" s="113"/>
      <c r="DL44" s="113"/>
      <c r="DM44" s="113"/>
      <c r="DN44" s="113"/>
      <c r="DO44" s="113"/>
      <c r="DP44" s="113"/>
      <c r="DQ44" s="113"/>
      <c r="DR44" s="113"/>
      <c r="DS44" s="113"/>
      <c r="DT44" s="114"/>
      <c r="DU44" s="115" t="s">
        <v>25</v>
      </c>
      <c r="DV44" s="116"/>
      <c r="DW44" s="116"/>
      <c r="DX44" s="116"/>
      <c r="DY44" s="116"/>
      <c r="DZ44" s="116"/>
      <c r="EA44" s="116"/>
      <c r="EB44" s="116"/>
      <c r="EC44" s="116"/>
      <c r="ED44" s="116"/>
      <c r="EE44" s="116"/>
      <c r="EF44" s="116"/>
      <c r="EG44" s="116"/>
      <c r="EH44" s="116"/>
      <c r="EI44" s="116"/>
      <c r="EJ44" s="116"/>
      <c r="EK44" s="116"/>
      <c r="EL44" s="116"/>
      <c r="EM44" s="116"/>
      <c r="EN44" s="116"/>
      <c r="EO44" s="116"/>
      <c r="EP44" s="116"/>
      <c r="EQ44" s="116"/>
      <c r="ER44" s="116"/>
      <c r="ES44" s="116"/>
      <c r="ET44" s="116"/>
      <c r="EU44" s="116"/>
      <c r="EV44" s="116"/>
      <c r="EW44" s="116"/>
      <c r="EX44" s="116"/>
      <c r="EY44" s="116"/>
      <c r="EZ44" s="116"/>
      <c r="FA44" s="116"/>
      <c r="FB44" s="116"/>
      <c r="FC44" s="116"/>
      <c r="FD44" s="116"/>
      <c r="FE44" s="116"/>
      <c r="FF44" s="116"/>
      <c r="FG44" s="116"/>
      <c r="FH44" s="116"/>
      <c r="FI44" s="116"/>
      <c r="FJ44" s="116"/>
      <c r="FK44" s="116"/>
      <c r="FL44" s="116"/>
      <c r="FM44" s="116"/>
      <c r="FN44" s="116"/>
      <c r="FO44" s="116"/>
      <c r="FP44" s="116"/>
      <c r="FQ44" s="116"/>
      <c r="FR44" s="116"/>
      <c r="FS44" s="116"/>
      <c r="FT44" s="116"/>
      <c r="FU44" s="116"/>
      <c r="FV44" s="116"/>
      <c r="FW44" s="117"/>
      <c r="FX44" s="61"/>
      <c r="FY44" s="61"/>
      <c r="FZ44" s="61"/>
      <c r="GA44" s="61"/>
      <c r="GB44" s="61"/>
      <c r="GC44" s="61"/>
      <c r="GD44" s="61"/>
      <c r="GE44" s="61"/>
      <c r="GF44" s="61"/>
      <c r="GG44" s="61"/>
      <c r="GH44" s="61"/>
      <c r="GI44" s="61"/>
      <c r="GJ44" s="61"/>
      <c r="GK44" s="61"/>
      <c r="GL44" s="61"/>
      <c r="GM44" s="61"/>
      <c r="GN44" s="61"/>
      <c r="GO44" s="61"/>
      <c r="GP44" s="61"/>
      <c r="GQ44" s="61"/>
      <c r="GR44" s="61"/>
    </row>
    <row r="45" spans="4:202" ht="9.75" customHeight="1" x14ac:dyDescent="0.25">
      <c r="E45" s="118">
        <f>IFERROR(VLOOKUP(AE42,REQUISIÇÕES!$A:$J,3,0),"")</f>
        <v>0.67638888888888893</v>
      </c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  <c r="AB45" s="119"/>
      <c r="AC45" s="119"/>
      <c r="AD45" s="120"/>
      <c r="AE45" s="100">
        <f>IFERROR(VLOOKUP(AE42,REQUISIÇÕES!$A:$J,5,0),"")</f>
        <v>225</v>
      </c>
      <c r="AF45" s="101"/>
      <c r="AG45" s="101"/>
      <c r="AH45" s="101"/>
      <c r="AI45" s="101"/>
      <c r="AJ45" s="101"/>
      <c r="AK45" s="101"/>
      <c r="AL45" s="101"/>
      <c r="AM45" s="101"/>
      <c r="AN45" s="101"/>
      <c r="AO45" s="101"/>
      <c r="AP45" s="101"/>
      <c r="AQ45" s="101"/>
      <c r="AR45" s="101"/>
      <c r="AS45" s="101"/>
      <c r="AT45" s="101"/>
      <c r="AU45" s="101"/>
      <c r="AV45" s="101"/>
      <c r="AW45" s="101"/>
      <c r="AX45" s="101"/>
      <c r="AY45" s="101"/>
      <c r="AZ45" s="101"/>
      <c r="BA45" s="101"/>
      <c r="BB45" s="101"/>
      <c r="BC45" s="101"/>
      <c r="BD45" s="101"/>
      <c r="BE45" s="101"/>
      <c r="BF45" s="101"/>
      <c r="BG45" s="101"/>
      <c r="BH45" s="101"/>
      <c r="BI45" s="101"/>
      <c r="BJ45" s="101"/>
      <c r="BK45" s="101"/>
      <c r="BL45" s="102"/>
      <c r="BM45" s="130">
        <f>IFERROR(VLOOKUP(AE42,REQUISIÇÕES!$A:$J,4,0),"")</f>
        <v>516</v>
      </c>
      <c r="BN45" s="131"/>
      <c r="BO45" s="131"/>
      <c r="BP45" s="131"/>
      <c r="BQ45" s="131"/>
      <c r="BR45" s="131"/>
      <c r="BS45" s="131"/>
      <c r="BT45" s="131"/>
      <c r="BU45" s="131"/>
      <c r="BV45" s="131"/>
      <c r="BW45" s="131"/>
      <c r="BX45" s="131"/>
      <c r="BY45" s="131"/>
      <c r="BZ45" s="131"/>
      <c r="CA45" s="131"/>
      <c r="CB45" s="131"/>
      <c r="CC45" s="131"/>
      <c r="CD45" s="131"/>
      <c r="CE45" s="131"/>
      <c r="CF45" s="131"/>
      <c r="CG45" s="131"/>
      <c r="CH45" s="131"/>
      <c r="CI45" s="131"/>
      <c r="CJ45" s="131"/>
      <c r="CK45" s="131"/>
      <c r="CL45" s="131"/>
      <c r="CM45" s="131"/>
      <c r="CN45" s="131"/>
      <c r="CO45" s="131"/>
      <c r="CP45" s="131"/>
      <c r="CQ45" s="131"/>
      <c r="CR45" s="131"/>
      <c r="CS45" s="131"/>
      <c r="CT45" s="131"/>
      <c r="CU45" s="131"/>
      <c r="CV45" s="131"/>
      <c r="CW45" s="131"/>
      <c r="CX45" s="131"/>
      <c r="CY45" s="131"/>
      <c r="CZ45" s="131"/>
      <c r="DA45" s="131"/>
      <c r="DB45" s="131"/>
      <c r="DC45" s="131"/>
      <c r="DD45" s="132"/>
      <c r="DE45" s="94" t="str">
        <f>IFERROR(VLOOKUP(AE45,'BD MAT.'!$E:$G,3,0),"")</f>
        <v>PB</v>
      </c>
      <c r="DF45" s="95"/>
      <c r="DG45" s="95"/>
      <c r="DH45" s="95"/>
      <c r="DI45" s="95"/>
      <c r="DJ45" s="95"/>
      <c r="DK45" s="95"/>
      <c r="DL45" s="95"/>
      <c r="DM45" s="95"/>
      <c r="DN45" s="95"/>
      <c r="DO45" s="95"/>
      <c r="DP45" s="95"/>
      <c r="DQ45" s="95"/>
      <c r="DR45" s="95"/>
      <c r="DS45" s="95"/>
      <c r="DT45" s="96"/>
      <c r="DU45" s="153">
        <f>IFERROR(VLOOKUP(AE42,REQUISIÇÕES!$A:$J,8,0),"")</f>
        <v>200</v>
      </c>
      <c r="DV45" s="154"/>
      <c r="DW45" s="154"/>
      <c r="DX45" s="154"/>
      <c r="DY45" s="154"/>
      <c r="DZ45" s="154"/>
      <c r="EA45" s="154"/>
      <c r="EB45" s="154"/>
      <c r="EC45" s="154"/>
      <c r="ED45" s="154"/>
      <c r="EE45" s="154"/>
      <c r="EF45" s="154"/>
      <c r="EG45" s="154"/>
      <c r="EH45" s="154"/>
      <c r="EI45" s="154"/>
      <c r="EJ45" s="154"/>
      <c r="EK45" s="154"/>
      <c r="EL45" s="154"/>
      <c r="EM45" s="154"/>
      <c r="EN45" s="154"/>
      <c r="EO45" s="154"/>
      <c r="EP45" s="154"/>
      <c r="EQ45" s="154"/>
      <c r="ER45" s="154"/>
      <c r="ES45" s="154"/>
      <c r="ET45" s="154"/>
      <c r="EU45" s="154"/>
      <c r="EV45" s="154"/>
      <c r="EW45" s="154"/>
      <c r="EX45" s="154"/>
      <c r="EY45" s="154"/>
      <c r="EZ45" s="154"/>
      <c r="FA45" s="154"/>
      <c r="FB45" s="154"/>
      <c r="FC45" s="154"/>
      <c r="FD45" s="154"/>
      <c r="FE45" s="154"/>
      <c r="FF45" s="154"/>
      <c r="FG45" s="154"/>
      <c r="FH45" s="154"/>
      <c r="FI45" s="154"/>
      <c r="FJ45" s="154"/>
      <c r="FK45" s="154"/>
      <c r="FL45" s="154"/>
      <c r="FM45" s="154"/>
      <c r="FN45" s="154"/>
      <c r="FO45" s="154"/>
      <c r="FP45" s="154"/>
      <c r="FQ45" s="154"/>
      <c r="FR45" s="154"/>
      <c r="FS45" s="154"/>
      <c r="FT45" s="154"/>
      <c r="FU45" s="154"/>
      <c r="FV45" s="154"/>
      <c r="FW45" s="155"/>
      <c r="FX45" s="61"/>
      <c r="FY45" s="61"/>
      <c r="FZ45" s="61"/>
      <c r="GA45" s="61"/>
      <c r="GB45" s="61"/>
      <c r="GC45" s="61"/>
      <c r="GD45" s="61"/>
      <c r="GE45" s="61"/>
      <c r="GF45" s="61"/>
      <c r="GG45" s="61"/>
      <c r="GH45" s="61"/>
      <c r="GI45" s="61"/>
      <c r="GJ45" s="61"/>
      <c r="GK45" s="61"/>
      <c r="GL45" s="61"/>
      <c r="GM45" s="61"/>
      <c r="GN45" s="61"/>
      <c r="GO45" s="61"/>
      <c r="GP45" s="61"/>
      <c r="GQ45" s="61"/>
      <c r="GR45" s="61"/>
    </row>
    <row r="46" spans="4:202" ht="9.75" customHeight="1" x14ac:dyDescent="0.25">
      <c r="E46" s="121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3"/>
      <c r="AE46" s="103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 s="104"/>
      <c r="BG46" s="104"/>
      <c r="BH46" s="104"/>
      <c r="BI46" s="104"/>
      <c r="BJ46" s="104"/>
      <c r="BK46" s="104"/>
      <c r="BL46" s="105"/>
      <c r="BM46" s="133"/>
      <c r="BN46" s="134"/>
      <c r="BO46" s="134"/>
      <c r="BP46" s="134"/>
      <c r="BQ46" s="134"/>
      <c r="BR46" s="134"/>
      <c r="BS46" s="134"/>
      <c r="BT46" s="134"/>
      <c r="BU46" s="134"/>
      <c r="BV46" s="134"/>
      <c r="BW46" s="134"/>
      <c r="BX46" s="134"/>
      <c r="BY46" s="134"/>
      <c r="BZ46" s="134"/>
      <c r="CA46" s="134"/>
      <c r="CB46" s="134"/>
      <c r="CC46" s="134"/>
      <c r="CD46" s="134"/>
      <c r="CE46" s="134"/>
      <c r="CF46" s="134"/>
      <c r="CG46" s="134"/>
      <c r="CH46" s="134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CT46" s="134"/>
      <c r="CU46" s="134"/>
      <c r="CV46" s="134"/>
      <c r="CW46" s="134"/>
      <c r="CX46" s="134"/>
      <c r="CY46" s="134"/>
      <c r="CZ46" s="134"/>
      <c r="DA46" s="134"/>
      <c r="DB46" s="134"/>
      <c r="DC46" s="134"/>
      <c r="DD46" s="135"/>
      <c r="DE46" s="97"/>
      <c r="DF46" s="98"/>
      <c r="DG46" s="98"/>
      <c r="DH46" s="98"/>
      <c r="DI46" s="98"/>
      <c r="DJ46" s="98"/>
      <c r="DK46" s="98"/>
      <c r="DL46" s="98"/>
      <c r="DM46" s="98"/>
      <c r="DN46" s="98"/>
      <c r="DO46" s="98"/>
      <c r="DP46" s="98"/>
      <c r="DQ46" s="98"/>
      <c r="DR46" s="98"/>
      <c r="DS46" s="98"/>
      <c r="DT46" s="99"/>
      <c r="DU46" s="156"/>
      <c r="DV46" s="157"/>
      <c r="DW46" s="157"/>
      <c r="DX46" s="157"/>
      <c r="DY46" s="157"/>
      <c r="DZ46" s="157"/>
      <c r="EA46" s="157"/>
      <c r="EB46" s="157"/>
      <c r="EC46" s="157"/>
      <c r="ED46" s="157"/>
      <c r="EE46" s="157"/>
      <c r="EF46" s="157"/>
      <c r="EG46" s="157"/>
      <c r="EH46" s="157"/>
      <c r="EI46" s="157"/>
      <c r="EJ46" s="157"/>
      <c r="EK46" s="157"/>
      <c r="EL46" s="157"/>
      <c r="EM46" s="157"/>
      <c r="EN46" s="157"/>
      <c r="EO46" s="157"/>
      <c r="EP46" s="157"/>
      <c r="EQ46" s="157"/>
      <c r="ER46" s="157"/>
      <c r="ES46" s="157"/>
      <c r="ET46" s="157"/>
      <c r="EU46" s="157"/>
      <c r="EV46" s="157"/>
      <c r="EW46" s="157"/>
      <c r="EX46" s="157"/>
      <c r="EY46" s="157"/>
      <c r="EZ46" s="157"/>
      <c r="FA46" s="157"/>
      <c r="FB46" s="157"/>
      <c r="FC46" s="157"/>
      <c r="FD46" s="157"/>
      <c r="FE46" s="157"/>
      <c r="FF46" s="157"/>
      <c r="FG46" s="157"/>
      <c r="FH46" s="157"/>
      <c r="FI46" s="157"/>
      <c r="FJ46" s="157"/>
      <c r="FK46" s="157"/>
      <c r="FL46" s="157"/>
      <c r="FM46" s="157"/>
      <c r="FN46" s="157"/>
      <c r="FO46" s="157"/>
      <c r="FP46" s="157"/>
      <c r="FQ46" s="157"/>
      <c r="FR46" s="157"/>
      <c r="FS46" s="157"/>
      <c r="FT46" s="157"/>
      <c r="FU46" s="157"/>
      <c r="FV46" s="157"/>
      <c r="FW46" s="158"/>
      <c r="FX46" s="61"/>
      <c r="FY46" s="61"/>
      <c r="FZ46" s="61"/>
      <c r="GA46" s="61"/>
      <c r="GB46" s="61"/>
      <c r="GC46" s="61"/>
      <c r="GD46" s="61"/>
      <c r="GE46" s="61"/>
      <c r="GF46" s="61"/>
      <c r="GG46" s="61"/>
      <c r="GH46" s="61"/>
      <c r="GI46" s="61"/>
      <c r="GJ46" s="61"/>
      <c r="GK46" s="61"/>
      <c r="GL46" s="61"/>
      <c r="GM46" s="61"/>
      <c r="GN46" s="61"/>
      <c r="GO46" s="61"/>
      <c r="GP46" s="61"/>
      <c r="GQ46" s="61"/>
      <c r="GR46" s="61"/>
    </row>
    <row r="47" spans="4:202" ht="6" customHeight="1" x14ac:dyDescent="0.25"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1"/>
      <c r="AS47" s="61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1"/>
      <c r="CB47" s="61"/>
      <c r="CC47" s="61"/>
      <c r="CD47" s="61"/>
      <c r="CE47" s="61"/>
      <c r="CF47" s="61"/>
      <c r="CG47" s="61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  <c r="EA47" s="61"/>
      <c r="EB47" s="61"/>
      <c r="EC47" s="61"/>
      <c r="ED47" s="61"/>
      <c r="EE47" s="61"/>
      <c r="EF47" s="61"/>
      <c r="EG47" s="61"/>
      <c r="EH47" s="61"/>
      <c r="EI47" s="61"/>
      <c r="EJ47" s="61"/>
      <c r="EK47" s="61"/>
      <c r="EL47" s="61"/>
      <c r="EM47" s="61"/>
      <c r="EN47" s="61"/>
      <c r="EO47" s="61"/>
      <c r="EP47" s="61"/>
      <c r="EQ47" s="61"/>
      <c r="ER47" s="61"/>
      <c r="ES47" s="61"/>
      <c r="ET47" s="61"/>
      <c r="EU47" s="61"/>
      <c r="EV47" s="61"/>
      <c r="EW47" s="61"/>
      <c r="EX47" s="61"/>
      <c r="EY47" s="61"/>
      <c r="EZ47" s="61"/>
      <c r="FA47" s="61"/>
      <c r="FB47" s="61"/>
      <c r="FC47" s="61"/>
      <c r="FD47" s="61"/>
      <c r="FE47" s="61"/>
      <c r="FF47" s="61"/>
      <c r="FG47" s="61"/>
      <c r="FH47" s="61"/>
      <c r="FI47" s="61"/>
      <c r="FJ47" s="61"/>
      <c r="FK47" s="61"/>
      <c r="FL47" s="61"/>
      <c r="FM47" s="61"/>
      <c r="FN47" s="61"/>
      <c r="FO47" s="61"/>
      <c r="FP47" s="61"/>
      <c r="FQ47" s="61"/>
      <c r="FR47" s="61"/>
      <c r="FS47" s="61"/>
      <c r="FT47" s="61"/>
      <c r="FU47" s="61"/>
      <c r="FV47" s="61"/>
      <c r="FW47" s="61"/>
      <c r="FX47" s="61"/>
      <c r="FY47" s="61"/>
      <c r="FZ47" s="61"/>
      <c r="GA47" s="61"/>
      <c r="GB47" s="61"/>
      <c r="GC47" s="61"/>
      <c r="GD47" s="61"/>
      <c r="GE47" s="61"/>
      <c r="GF47" s="61"/>
      <c r="GG47" s="61"/>
      <c r="GH47" s="61"/>
      <c r="GI47" s="61"/>
      <c r="GJ47" s="61"/>
      <c r="GK47" s="61"/>
      <c r="GL47" s="61"/>
      <c r="GM47" s="61"/>
      <c r="GN47" s="61"/>
      <c r="GO47" s="61"/>
      <c r="GP47" s="61"/>
      <c r="GQ47" s="61"/>
      <c r="GR47" s="61"/>
    </row>
    <row r="48" spans="4:202" ht="6" customHeight="1" x14ac:dyDescent="0.25"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1"/>
      <c r="CB48" s="61"/>
      <c r="CC48" s="61"/>
      <c r="CD48" s="61"/>
      <c r="CE48" s="61"/>
      <c r="CF48" s="61"/>
      <c r="CG48" s="61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  <c r="EA48" s="61"/>
      <c r="EB48" s="61"/>
      <c r="EC48" s="61"/>
      <c r="ED48" s="61"/>
      <c r="EE48" s="61"/>
      <c r="EF48" s="61"/>
      <c r="EG48" s="61"/>
      <c r="EH48" s="61"/>
      <c r="EI48" s="61"/>
      <c r="EJ48" s="61"/>
      <c r="EK48" s="61"/>
      <c r="EL48" s="61"/>
      <c r="EM48" s="61"/>
      <c r="EN48" s="61"/>
      <c r="EO48" s="61"/>
      <c r="EP48" s="61"/>
      <c r="EQ48" s="61"/>
      <c r="ER48" s="61"/>
      <c r="ES48" s="61"/>
      <c r="ET48" s="61"/>
      <c r="EU48" s="61"/>
      <c r="EV48" s="61"/>
      <c r="EW48" s="61"/>
      <c r="EX48" s="61"/>
      <c r="EY48" s="61"/>
      <c r="EZ48" s="61"/>
      <c r="FA48" s="61"/>
      <c r="FB48" s="61"/>
      <c r="FC48" s="61"/>
      <c r="FD48" s="61"/>
      <c r="FE48" s="61"/>
      <c r="FF48" s="61"/>
      <c r="FG48" s="61"/>
      <c r="FH48" s="61"/>
      <c r="FI48" s="61"/>
      <c r="FJ48" s="61"/>
      <c r="FK48" s="61"/>
      <c r="FL48" s="61"/>
      <c r="FM48" s="61"/>
      <c r="FN48" s="61"/>
      <c r="FO48" s="61"/>
      <c r="FP48" s="61"/>
      <c r="FQ48" s="61"/>
      <c r="FR48" s="61"/>
      <c r="FS48" s="61"/>
      <c r="FT48" s="61"/>
      <c r="FU48" s="61"/>
      <c r="FV48" s="61"/>
      <c r="FW48" s="61"/>
      <c r="FX48" s="61"/>
      <c r="FY48" s="61"/>
      <c r="FZ48" s="61"/>
      <c r="GA48" s="61"/>
      <c r="GB48" s="61"/>
      <c r="GC48" s="61"/>
      <c r="GD48" s="61"/>
      <c r="GE48" s="61"/>
      <c r="GF48" s="61"/>
      <c r="GG48" s="61"/>
      <c r="GH48" s="61"/>
      <c r="GI48" s="61"/>
      <c r="GJ48" s="61"/>
      <c r="GK48" s="61"/>
      <c r="GL48" s="61"/>
      <c r="GM48" s="61"/>
      <c r="GN48" s="61"/>
      <c r="GO48" s="61"/>
      <c r="GP48" s="61"/>
      <c r="GQ48" s="61"/>
      <c r="GR48" s="61"/>
    </row>
    <row r="49" spans="4:202" x14ac:dyDescent="0.25">
      <c r="D49" s="61"/>
      <c r="E49" s="137" t="s">
        <v>86</v>
      </c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  <c r="CK49" s="137"/>
      <c r="CL49" s="137"/>
      <c r="CM49" s="137"/>
      <c r="CN49" s="137"/>
      <c r="CO49" s="137"/>
      <c r="CP49" s="137"/>
      <c r="CQ49" s="137"/>
      <c r="CR49" s="137"/>
      <c r="CS49" s="137"/>
      <c r="CT49" s="61"/>
      <c r="CU49" s="61" t="s">
        <v>81</v>
      </c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5"/>
      <c r="DT49" s="65"/>
      <c r="DU49" s="65"/>
      <c r="DV49" s="65"/>
      <c r="DW49" s="65"/>
      <c r="DX49" s="65"/>
      <c r="DY49" s="65"/>
      <c r="DZ49" s="65"/>
      <c r="EA49" s="65"/>
      <c r="EB49" s="65"/>
      <c r="EC49" s="65"/>
      <c r="ED49" s="65"/>
      <c r="EE49" s="65"/>
      <c r="EF49" s="65"/>
      <c r="EG49" s="65"/>
      <c r="EH49" s="65"/>
      <c r="EI49" s="65"/>
      <c r="EJ49" s="65"/>
      <c r="EK49" s="65"/>
      <c r="EL49" s="65"/>
      <c r="EM49" s="65"/>
      <c r="EN49" s="65"/>
      <c r="EO49" s="65"/>
      <c r="EP49" s="65"/>
      <c r="EQ49" s="65"/>
      <c r="ER49" s="65"/>
      <c r="ES49" s="65"/>
      <c r="ET49" s="65"/>
      <c r="EU49" s="65"/>
      <c r="EV49" s="65"/>
      <c r="EW49" s="65"/>
      <c r="EX49" s="65"/>
      <c r="EY49" s="65"/>
      <c r="EZ49" s="65"/>
      <c r="FA49" s="65"/>
      <c r="FB49" s="65"/>
      <c r="FC49" s="65"/>
      <c r="FD49" s="65"/>
      <c r="FE49" s="65"/>
      <c r="FF49" s="65"/>
      <c r="FG49" s="65"/>
      <c r="FH49" s="66"/>
      <c r="FI49" s="66"/>
      <c r="FJ49" s="66"/>
      <c r="FK49" s="66"/>
      <c r="FL49" s="66"/>
      <c r="FM49" s="66"/>
      <c r="FN49" s="66"/>
      <c r="FO49" s="66"/>
      <c r="FP49" s="66"/>
      <c r="FQ49" s="66"/>
      <c r="FR49" s="66"/>
      <c r="FS49" s="66"/>
      <c r="FT49" s="66"/>
      <c r="FU49" s="66"/>
      <c r="FV49" s="66"/>
      <c r="FW49" s="66"/>
      <c r="FX49" s="64"/>
      <c r="FY49" s="61"/>
      <c r="FZ49" s="61"/>
      <c r="GA49" s="61"/>
      <c r="GB49" s="61"/>
      <c r="GC49" s="61"/>
      <c r="GD49" s="61"/>
      <c r="GE49" s="61"/>
      <c r="GF49" s="61"/>
      <c r="GG49" s="61"/>
      <c r="GH49" s="61"/>
      <c r="GI49" s="61"/>
      <c r="GJ49" s="61"/>
      <c r="GK49" s="61"/>
      <c r="GL49" s="61"/>
      <c r="GM49" s="61"/>
      <c r="GN49" s="61"/>
      <c r="GO49" s="61"/>
      <c r="GP49" s="61"/>
      <c r="GQ49" s="61"/>
      <c r="GR49" s="61"/>
      <c r="GS49" s="61"/>
      <c r="GT49" s="61"/>
    </row>
    <row r="50" spans="4:202" x14ac:dyDescent="0.25">
      <c r="D50" s="61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  <c r="CK50" s="137"/>
      <c r="CL50" s="137"/>
      <c r="CM50" s="137"/>
      <c r="CN50" s="137"/>
      <c r="CO50" s="137"/>
      <c r="CP50" s="137"/>
      <c r="CQ50" s="137"/>
      <c r="CR50" s="137"/>
      <c r="CS50" s="137"/>
      <c r="CT50" s="61"/>
      <c r="CU50" s="61" t="s">
        <v>55</v>
      </c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5"/>
      <c r="DI50" s="65"/>
      <c r="DJ50" s="65"/>
      <c r="DK50" s="65"/>
      <c r="DL50" s="65"/>
      <c r="DM50" s="65"/>
      <c r="DN50" s="65"/>
      <c r="DO50" s="65"/>
      <c r="DP50" s="65"/>
      <c r="DQ50" s="65"/>
      <c r="DR50" s="65"/>
      <c r="DS50" s="65"/>
      <c r="DT50" s="65"/>
      <c r="DU50" s="65"/>
      <c r="DV50" s="65"/>
      <c r="DW50" s="65"/>
      <c r="DX50" s="65"/>
      <c r="DY50" s="65"/>
      <c r="DZ50" s="65"/>
      <c r="EA50" s="65"/>
      <c r="EB50" s="65"/>
      <c r="EC50" s="65"/>
      <c r="ED50" s="65"/>
      <c r="EE50" s="65"/>
      <c r="EF50" s="65"/>
      <c r="EG50" s="65"/>
      <c r="EH50" s="65"/>
      <c r="EI50" s="65"/>
      <c r="EJ50" s="65"/>
      <c r="EK50" s="65"/>
      <c r="EL50" s="65"/>
      <c r="EM50" s="64" t="s">
        <v>56</v>
      </c>
      <c r="EN50" s="64"/>
      <c r="EO50" s="64"/>
      <c r="EP50" s="64"/>
      <c r="EQ50" s="64"/>
      <c r="ER50" s="64"/>
      <c r="ES50" s="64"/>
      <c r="ET50" s="64"/>
      <c r="EU50" s="64"/>
      <c r="EV50" s="64"/>
      <c r="EW50" s="66"/>
      <c r="EX50" s="66"/>
      <c r="EY50" s="66"/>
      <c r="EZ50" s="66"/>
      <c r="FA50" s="66"/>
      <c r="FB50" s="66"/>
      <c r="FC50" s="66"/>
      <c r="FD50" s="66"/>
      <c r="FE50" s="66"/>
      <c r="FF50" s="66"/>
      <c r="FG50" s="66"/>
      <c r="FH50" s="66"/>
      <c r="FI50" s="66"/>
      <c r="FJ50" s="66"/>
      <c r="FK50" s="66"/>
      <c r="FL50" s="66"/>
      <c r="FM50" s="66"/>
      <c r="FN50" s="66"/>
      <c r="FO50" s="66"/>
      <c r="FP50" s="66"/>
      <c r="FQ50" s="66"/>
      <c r="FR50" s="66"/>
      <c r="FS50" s="66"/>
      <c r="FT50" s="66"/>
      <c r="FU50" s="66"/>
      <c r="FV50" s="66"/>
      <c r="FW50" s="66"/>
      <c r="FX50" s="66"/>
      <c r="FY50" s="65"/>
      <c r="FZ50" s="61"/>
      <c r="GA50" s="61"/>
      <c r="GB50" s="61"/>
      <c r="GC50" s="61"/>
      <c r="GD50" s="61"/>
      <c r="GE50" s="61"/>
      <c r="GF50" s="61"/>
      <c r="GG50" s="61"/>
      <c r="GH50" s="61"/>
      <c r="GI50" s="61"/>
      <c r="GJ50" s="61"/>
      <c r="GK50" s="61"/>
      <c r="GL50" s="61"/>
      <c r="GM50" s="61"/>
      <c r="GN50" s="61"/>
      <c r="GO50" s="61"/>
      <c r="GP50" s="61"/>
      <c r="GQ50" s="61"/>
      <c r="GR50" s="61"/>
      <c r="GS50" s="61"/>
      <c r="GT50" s="61"/>
    </row>
    <row r="51" spans="4:202" x14ac:dyDescent="0.25">
      <c r="E51" s="61"/>
      <c r="F51" s="61"/>
      <c r="G51" s="61"/>
      <c r="H51" s="61"/>
      <c r="I51" s="61"/>
      <c r="J51" s="61"/>
      <c r="K51" s="61"/>
      <c r="L51" s="61"/>
      <c r="M51" s="92">
        <f ca="1">NOW()</f>
        <v>43445.405055555559</v>
      </c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3"/>
      <c r="AF51" s="93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3"/>
      <c r="AS51" s="93"/>
      <c r="AT51" s="93"/>
      <c r="AU51" s="93"/>
      <c r="AV51" s="93"/>
      <c r="AW51" s="93"/>
      <c r="AX51" s="93"/>
      <c r="AY51" s="93"/>
      <c r="AZ51" s="93"/>
      <c r="BA51" s="93"/>
      <c r="BB51" s="61"/>
      <c r="BC51" s="138" t="s">
        <v>80</v>
      </c>
      <c r="BD51" s="138"/>
      <c r="BE51" s="138"/>
      <c r="BF51" s="138"/>
      <c r="BG51" s="138"/>
      <c r="BH51" s="138"/>
      <c r="BI51" s="138"/>
      <c r="BJ51" s="138"/>
      <c r="BK51" s="138"/>
      <c r="BL51" s="138"/>
      <c r="BM51" s="138"/>
      <c r="BN51" s="138"/>
      <c r="BO51" s="138"/>
      <c r="BP51" s="138"/>
      <c r="BQ51" s="138"/>
      <c r="BR51" s="138"/>
      <c r="BS51" s="138"/>
      <c r="BT51" s="138"/>
      <c r="BU51" s="138"/>
      <c r="BV51" s="138"/>
      <c r="BW51" s="138"/>
      <c r="BX51" s="138"/>
      <c r="BY51" s="138"/>
      <c r="BZ51" s="138"/>
      <c r="CA51" s="138"/>
      <c r="CB51" s="138"/>
      <c r="CC51" s="138"/>
      <c r="CD51" s="138"/>
      <c r="CE51" s="138"/>
      <c r="CF51" s="138"/>
      <c r="CG51" s="138"/>
      <c r="CH51" s="138"/>
      <c r="CI51" s="138"/>
      <c r="CJ51" s="138"/>
      <c r="CK51" s="138"/>
      <c r="CL51" s="138"/>
      <c r="CM51" s="138"/>
      <c r="CN51" s="136" t="str">
        <f>IFERROR(VLOOKUP(AE42,REQUISIÇÕES!$A:$K,11,0),"")</f>
        <v>Graciela</v>
      </c>
      <c r="CO51" s="136"/>
      <c r="CP51" s="136"/>
      <c r="CQ51" s="136"/>
      <c r="CR51" s="136"/>
      <c r="CS51" s="136"/>
      <c r="CT51" s="136"/>
      <c r="CU51" s="136"/>
      <c r="CV51" s="136"/>
      <c r="CW51" s="136"/>
      <c r="CX51" s="136"/>
      <c r="CY51" s="136"/>
      <c r="CZ51" s="136"/>
      <c r="DA51" s="136"/>
      <c r="DB51" s="136"/>
      <c r="DC51" s="136"/>
      <c r="DD51" s="136"/>
      <c r="DE51" s="136"/>
      <c r="DF51" s="136"/>
      <c r="DG51" s="136"/>
      <c r="DH51" s="136"/>
      <c r="DI51" s="136"/>
      <c r="DJ51" s="136"/>
      <c r="DK51" s="136"/>
      <c r="DL51" s="136"/>
      <c r="DM51" s="136"/>
      <c r="DN51" s="136"/>
      <c r="DO51" s="136"/>
      <c r="DP51" s="136"/>
      <c r="DQ51" s="136"/>
      <c r="DR51" s="136"/>
      <c r="DS51" s="136"/>
      <c r="DT51" s="136"/>
      <c r="DU51" s="136"/>
      <c r="DV51" s="136"/>
      <c r="DW51" s="136"/>
      <c r="DX51" s="136"/>
      <c r="DY51" s="136"/>
      <c r="DZ51" s="136"/>
      <c r="EA51" s="136"/>
      <c r="EB51" s="136"/>
      <c r="EC51" s="136"/>
      <c r="ED51" s="136"/>
      <c r="EE51" s="136"/>
      <c r="EF51" s="136"/>
      <c r="EG51" s="136"/>
      <c r="EH51" s="136"/>
      <c r="EI51" s="136"/>
      <c r="EJ51" s="136"/>
      <c r="EK51" s="136"/>
      <c r="EL51" s="136"/>
      <c r="EM51" s="136"/>
      <c r="EN51" s="136"/>
      <c r="EO51" s="136"/>
      <c r="EP51" s="136"/>
      <c r="EQ51" s="136"/>
      <c r="ER51" s="136"/>
      <c r="ES51" s="136"/>
      <c r="ET51" s="136"/>
      <c r="EU51" s="136"/>
      <c r="EV51" s="136"/>
      <c r="EW51" s="136"/>
      <c r="EX51" s="136"/>
      <c r="EY51" s="136"/>
      <c r="EZ51" s="136"/>
      <c r="FA51" s="136"/>
      <c r="FB51" s="136"/>
      <c r="FC51" s="136"/>
      <c r="FD51" s="136"/>
      <c r="FE51" s="136"/>
      <c r="FF51" s="136"/>
      <c r="FG51" s="136"/>
      <c r="FH51" s="136"/>
      <c r="FI51" s="136"/>
      <c r="FJ51" s="136"/>
      <c r="FK51" s="136"/>
      <c r="FL51" s="136"/>
      <c r="FM51" s="136"/>
      <c r="FN51" s="136"/>
      <c r="FO51" s="136"/>
      <c r="FP51" s="136"/>
      <c r="FQ51" s="136"/>
      <c r="FR51" s="136"/>
      <c r="FS51" s="136"/>
      <c r="FT51" s="136"/>
      <c r="FU51" s="61"/>
      <c r="FV51" s="61"/>
      <c r="FW51" s="61"/>
      <c r="FX51" s="61"/>
      <c r="FY51" s="61"/>
      <c r="FZ51" s="61"/>
      <c r="GA51" s="61"/>
      <c r="GB51" s="61"/>
      <c r="GC51" s="61"/>
      <c r="GD51" s="61"/>
      <c r="GE51" s="61"/>
      <c r="GF51" s="61"/>
      <c r="GG51" s="61"/>
      <c r="GH51" s="61"/>
      <c r="GI51" s="61"/>
      <c r="GJ51" s="61"/>
      <c r="GK51" s="61"/>
      <c r="GL51" s="61"/>
      <c r="GM51" s="61"/>
      <c r="GN51" s="61"/>
      <c r="GO51" s="61"/>
      <c r="GP51" s="61"/>
      <c r="GQ51" s="61"/>
      <c r="GR51" s="61"/>
    </row>
  </sheetData>
  <mergeCells count="96">
    <mergeCell ref="E7:AD7"/>
    <mergeCell ref="E8:AD9"/>
    <mergeCell ref="BM10:DD10"/>
    <mergeCell ref="E15:CS16"/>
    <mergeCell ref="AE7:BL7"/>
    <mergeCell ref="AE8:BL9"/>
    <mergeCell ref="CJ7:FW7"/>
    <mergeCell ref="CJ8:FW9"/>
    <mergeCell ref="BM7:CI7"/>
    <mergeCell ref="BM8:CI9"/>
    <mergeCell ref="BC17:CM17"/>
    <mergeCell ref="E10:AD10"/>
    <mergeCell ref="CN17:FT17"/>
    <mergeCell ref="DU10:FW10"/>
    <mergeCell ref="DU11:FW12"/>
    <mergeCell ref="DE11:DT12"/>
    <mergeCell ref="E11:AD12"/>
    <mergeCell ref="AE10:BL10"/>
    <mergeCell ref="AE11:BL12"/>
    <mergeCell ref="BM11:DD12"/>
    <mergeCell ref="M17:BA17"/>
    <mergeCell ref="DE10:DT10"/>
    <mergeCell ref="E2:V3"/>
    <mergeCell ref="W2:FW3"/>
    <mergeCell ref="E4:V5"/>
    <mergeCell ref="W4:EI5"/>
    <mergeCell ref="EJ4:EZ4"/>
    <mergeCell ref="FA4:FK4"/>
    <mergeCell ref="FL4:FW4"/>
    <mergeCell ref="EJ5:EZ5"/>
    <mergeCell ref="FA5:FK5"/>
    <mergeCell ref="FL5:FW5"/>
    <mergeCell ref="DE45:DT46"/>
    <mergeCell ref="DU45:FW46"/>
    <mergeCell ref="M34:BA34"/>
    <mergeCell ref="E36:V37"/>
    <mergeCell ref="W36:FW37"/>
    <mergeCell ref="E38:V39"/>
    <mergeCell ref="W38:EI39"/>
    <mergeCell ref="EJ38:EZ38"/>
    <mergeCell ref="FA39:FK39"/>
    <mergeCell ref="CN34:FT34"/>
    <mergeCell ref="BC34:CM34"/>
    <mergeCell ref="E19:V20"/>
    <mergeCell ref="W19:FW20"/>
    <mergeCell ref="DE27:DT27"/>
    <mergeCell ref="BM24:CI24"/>
    <mergeCell ref="DU27:FW27"/>
    <mergeCell ref="E24:AD24"/>
    <mergeCell ref="AE24:BL24"/>
    <mergeCell ref="CJ24:FW24"/>
    <mergeCell ref="E25:AD26"/>
    <mergeCell ref="AE25:BL26"/>
    <mergeCell ref="BM25:CI26"/>
    <mergeCell ref="CJ25:FW26"/>
    <mergeCell ref="E27:AD27"/>
    <mergeCell ref="AE27:BL27"/>
    <mergeCell ref="BM27:DD27"/>
    <mergeCell ref="EJ21:EZ21"/>
    <mergeCell ref="FL21:FW21"/>
    <mergeCell ref="EJ22:EZ22"/>
    <mergeCell ref="FA22:FK22"/>
    <mergeCell ref="FL22:FW22"/>
    <mergeCell ref="FA21:FK21"/>
    <mergeCell ref="E21:V22"/>
    <mergeCell ref="W21:EI22"/>
    <mergeCell ref="FL39:FW39"/>
    <mergeCell ref="E41:AD41"/>
    <mergeCell ref="DU28:FW29"/>
    <mergeCell ref="AE41:BL41"/>
    <mergeCell ref="BM41:CI41"/>
    <mergeCell ref="CJ41:FW41"/>
    <mergeCell ref="E32:CS33"/>
    <mergeCell ref="E28:AD29"/>
    <mergeCell ref="AE28:BL29"/>
    <mergeCell ref="BM28:DD29"/>
    <mergeCell ref="DE28:DT29"/>
    <mergeCell ref="FA38:FK38"/>
    <mergeCell ref="FL38:FW38"/>
    <mergeCell ref="EJ39:EZ39"/>
    <mergeCell ref="M51:BA51"/>
    <mergeCell ref="BM42:CI43"/>
    <mergeCell ref="CJ42:FW43"/>
    <mergeCell ref="E44:AD44"/>
    <mergeCell ref="AE44:BL44"/>
    <mergeCell ref="BM44:DD44"/>
    <mergeCell ref="DE44:DT44"/>
    <mergeCell ref="DU44:FW44"/>
    <mergeCell ref="E45:AD46"/>
    <mergeCell ref="E42:AD43"/>
    <mergeCell ref="AE42:BL43"/>
    <mergeCell ref="AE45:BL46"/>
    <mergeCell ref="BM45:DD46"/>
    <mergeCell ref="CN51:FT51"/>
    <mergeCell ref="E49:CS50"/>
    <mergeCell ref="BC51:CM51"/>
  </mergeCells>
  <pageMargins left="3.937007874015748E-2" right="3.937007874015748E-2" top="3.937007874015748E-2" bottom="3.937007874015748E-2" header="3.937007874015748E-2" footer="3.937007874015748E-2"/>
  <pageSetup paperSize="9" scale="9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PAINEL</vt:lpstr>
      <vt:lpstr>BD MAT.</vt:lpstr>
      <vt:lpstr>Plan3</vt:lpstr>
      <vt:lpstr>lançamento cubo CPP</vt:lpstr>
      <vt:lpstr>REQUISIÇÕES</vt:lpstr>
      <vt:lpstr>Boas Vindas</vt:lpstr>
      <vt:lpstr>Impressão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henrique.marques@kof.com.mx</dc:creator>
  <cp:lastModifiedBy>Marques, Henrique</cp:lastModifiedBy>
  <cp:lastPrinted>2016-08-20T11:11:33Z</cp:lastPrinted>
  <dcterms:created xsi:type="dcterms:W3CDTF">2016-08-05T12:49:28Z</dcterms:created>
  <dcterms:modified xsi:type="dcterms:W3CDTF">2018-12-11T11:44:01Z</dcterms:modified>
</cp:coreProperties>
</file>